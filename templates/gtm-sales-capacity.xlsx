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AE roster" sheetId="2" state="visible" r:id="rId2"/>
    <sheet name="Waterfall" sheetId="3" state="visible" r:id="rId3"/>
    <sheet name="Renewals" sheetId="4" state="visible" r:id="rId4"/>
    <sheet name="Teaching fill" sheetId="5" state="visible" r:id="rId5"/>
  </sheets>
  <definedNames>
    <definedName name="_xlnm._FilterDatabase" localSheetId="0" hidden="1">'Assumptions'!$A$7:$D$7</definedName>
    <definedName name="_xlnm._FilterDatabase" localSheetId="1" hidden="1">'AE roster'!$A$3:$H$3</definedName>
    <definedName name="_xlnm._FilterDatabase" localSheetId="2" hidden="1">'Waterfall'!$A$4:$M$4</definedName>
    <definedName name="_xlnm._FilterDatabase" localSheetId="3" hidden="1">'Renewals'!$A$3:$E$3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$#,##0"/>
  </numFmts>
  <fonts count="6">
    <font>
      <name val="Calibri"/>
      <family val="2"/>
      <color theme="1"/>
      <sz val="11"/>
      <scheme val="minor"/>
    </font>
    <font>
      <name val="Calibri"/>
      <b val="1"/>
      <color rgb="001B3A4B"/>
      <sz val="16"/>
    </font>
    <font>
      <name val="Calibri"/>
      <i val="1"/>
      <color rgb="005C6B73"/>
      <sz val="10"/>
    </font>
    <font>
      <name val="Calibri"/>
      <color rgb="001A1A1A"/>
      <sz val="11"/>
    </font>
    <font>
      <name val="Calibri"/>
      <b val="1"/>
      <color rgb="00FFFFFF"/>
      <sz val="11"/>
    </font>
    <font>
      <name val="Calibri"/>
      <b val="1"/>
      <color rgb="001A1A1A"/>
      <sz val="11"/>
    </font>
  </fonts>
  <fills count="6">
    <fill>
      <patternFill/>
    </fill>
    <fill>
      <patternFill patternType="gray125"/>
    </fill>
    <fill>
      <patternFill patternType="solid">
        <fgColor rgb="00F7F4EF"/>
      </patternFill>
    </fill>
    <fill>
      <patternFill patternType="solid">
        <fgColor rgb="00FFF3C4"/>
      </patternFill>
    </fill>
    <fill>
      <patternFill patternType="solid">
        <fgColor rgb="001B3A4B"/>
      </patternFill>
    </fill>
    <fill>
      <patternFill patternType="solid">
        <fgColor rgb="00E8F0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center" wrapText="1"/>
    </xf>
    <xf numFmtId="0" fontId="5" fillId="0" borderId="0" pivotButton="0" quotePrefix="0" xfId="0"/>
    <xf numFmtId="2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4" fontId="5" fillId="0" borderId="0" pivotButton="0" quotePrefix="0" xfId="0"/>
    <xf numFmtId="165" fontId="0" fillId="0" borderId="0" pivotButton="0" quotePrefix="0" xfId="0"/>
    <xf numFmtId="0" fontId="0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36" customWidth="1" min="1" max="1"/>
    <col width="24" customWidth="1" min="2" max="2"/>
    <col width="24" customWidth="1" min="3" max="3"/>
    <col width="40" customWidth="1" min="4" max="4"/>
  </cols>
  <sheetData>
    <row r="1" ht="28" customHeight="1">
      <c r="A1" s="1" t="inlineStr">
        <is>
          <t>B2B Playbook · Sales capacity — change inputs only</t>
        </is>
      </c>
    </row>
    <row r="2" ht="36" customHeight="1">
      <c r="A2" s="2" t="inlineStr">
        <is>
          <t>Yellow cells drive every other sheet. Sample numbers on Teaching fill are invented. Stage names must match CRM and forecasting. Copyright © 2026 Ivan Xu.</t>
        </is>
      </c>
    </row>
    <row r="4">
      <c r="A4" t="inlineStr">
        <is>
          <t>Model start (month 1)</t>
        </is>
      </c>
      <c r="B4" s="3" t="n"/>
      <c r="C4" t="inlineStr">
        <is>
          <t>Owner</t>
        </is>
      </c>
      <c r="D4" s="3" t="n"/>
    </row>
    <row r="5">
      <c r="A5" t="inlineStr">
        <is>
          <t>Output object (must match demand plan)</t>
        </is>
      </c>
      <c r="B5" s="3" t="inlineStr">
        <is>
          <t>Closed won</t>
        </is>
      </c>
    </row>
    <row r="7" ht="22" customHeight="1">
      <c r="A7" s="4" t="inlineStr">
        <is>
          <t>Input</t>
        </is>
      </c>
      <c r="B7" s="4" t="inlineStr">
        <is>
          <t>Segment A (e.g. MM)</t>
        </is>
      </c>
      <c r="C7" s="4" t="inlineStr">
        <is>
          <t>Segment B (e.g. Ent)</t>
        </is>
      </c>
      <c r="D7" s="4" t="inlineStr">
        <is>
          <t>Notes</t>
        </is>
      </c>
    </row>
    <row r="8">
      <c r="A8" s="5" t="inlineStr">
        <is>
          <t>Annual quota / AE</t>
        </is>
      </c>
      <c r="B8" s="3" t="n"/>
      <c r="C8" s="3" t="n"/>
      <c r="D8" s="3" t="n"/>
    </row>
    <row r="9">
      <c r="A9" s="5" t="inlineStr">
        <is>
          <t>Expected attainment (0–1)</t>
        </is>
      </c>
      <c r="B9" s="3" t="n"/>
      <c r="C9" s="3" t="n"/>
      <c r="D9" s="3" t="n"/>
    </row>
    <row r="10">
      <c r="A10" s="5" t="inlineStr">
        <is>
          <t>Ramp months</t>
        </is>
      </c>
      <c r="B10" s="3" t="n"/>
      <c r="C10" s="3" t="n"/>
      <c r="D10" s="3" t="n"/>
    </row>
    <row r="11">
      <c r="A11" s="5" t="inlineStr">
        <is>
          <t>Average first-contract value</t>
        </is>
      </c>
      <c r="B11" s="3" t="n"/>
      <c r="C11" s="3" t="n"/>
      <c r="D11" s="3" t="n"/>
    </row>
    <row r="12">
      <c r="A12" s="5" t="inlineStr">
        <is>
          <t>Stage 1 name</t>
        </is>
      </c>
      <c r="B12" s="3" t="n"/>
      <c r="C12" s="3" t="n"/>
      <c r="D12" s="3" t="n"/>
    </row>
    <row r="13">
      <c r="A13" s="5" t="inlineStr">
        <is>
          <t>Stage 2 name</t>
        </is>
      </c>
      <c r="B13" s="3" t="n"/>
      <c r="C13" s="3" t="n"/>
      <c r="D13" s="3" t="n"/>
    </row>
    <row r="14">
      <c r="A14" s="5" t="inlineStr">
        <is>
          <t>Stage 3 name</t>
        </is>
      </c>
      <c r="B14" s="3" t="n"/>
      <c r="C14" s="3" t="n"/>
      <c r="D14" s="3" t="n"/>
    </row>
    <row r="15">
      <c r="A15" s="5" t="inlineStr">
        <is>
          <t>Stage 4 (won) name</t>
        </is>
      </c>
      <c r="B15" s="3" t="n"/>
      <c r="C15" s="3" t="n"/>
      <c r="D15" s="3" t="n"/>
    </row>
    <row r="16">
      <c r="A16" s="5" t="inlineStr">
        <is>
          <t>Conv stage1 → 2</t>
        </is>
      </c>
      <c r="B16" s="3" t="n"/>
      <c r="C16" s="3" t="n"/>
      <c r="D16" s="3" t="n"/>
    </row>
    <row r="17">
      <c r="A17" s="5" t="inlineStr">
        <is>
          <t>Conv stage2 → 3</t>
        </is>
      </c>
      <c r="B17" s="3" t="n"/>
      <c r="C17" s="3" t="n"/>
      <c r="D17" s="3" t="n"/>
    </row>
    <row r="18">
      <c r="A18" s="5" t="inlineStr">
        <is>
          <t>Conv stage3 → won</t>
        </is>
      </c>
      <c r="B18" s="3" t="n"/>
      <c r="C18" s="3" t="n"/>
      <c r="D18" s="3" t="n"/>
    </row>
    <row r="19">
      <c r="A19" s="5" t="inlineStr">
        <is>
          <t>Stage 1 length (months)</t>
        </is>
      </c>
      <c r="B19" s="3" t="n"/>
      <c r="C19" s="3" t="n"/>
      <c r="D19" s="3" t="n"/>
    </row>
    <row r="20">
      <c r="A20" s="5" t="inlineStr">
        <is>
          <t>Stage 2 length (months)</t>
        </is>
      </c>
      <c r="B20" s="3" t="n"/>
      <c r="C20" s="3" t="n"/>
      <c r="D20" s="3" t="n"/>
    </row>
    <row r="21">
      <c r="A21" s="5" t="inlineStr">
        <is>
          <t>Stage 3 length (months)</t>
        </is>
      </c>
      <c r="B21" s="3" t="n"/>
      <c r="C21" s="3" t="n"/>
      <c r="D21" s="3" t="n"/>
    </row>
    <row r="22">
      <c r="A22" s="5" t="inlineStr">
        <is>
          <t>AEs supported per SDR</t>
        </is>
      </c>
      <c r="B22" s="3" t="n"/>
      <c r="C22" s="3" t="n"/>
      <c r="D22" s="3" t="n"/>
    </row>
    <row r="23">
      <c r="A23" s="5" t="inlineStr">
        <is>
          <t>AEs supported per SE</t>
        </is>
      </c>
      <c r="B23" s="3" t="n"/>
      <c r="C23" s="3" t="n"/>
      <c r="D23" s="3" t="n"/>
    </row>
    <row r="24">
      <c r="A24" s="5" t="inlineStr">
        <is>
          <t>AEs supported per manager</t>
        </is>
      </c>
      <c r="B24" s="3" t="n"/>
      <c r="C24" s="3" t="n"/>
      <c r="D24" s="3" t="n"/>
    </row>
    <row r="25">
      <c r="A25" s="5" t="inlineStr">
        <is>
          <t>Contract term (months)</t>
        </is>
      </c>
      <c r="B25" s="3" t="n"/>
      <c r="C25" s="3" t="n"/>
      <c r="D25" s="3" t="n"/>
    </row>
    <row r="26">
      <c r="A26" s="5" t="inlineStr">
        <is>
          <t>Logo churn at renewal (0–1)</t>
        </is>
      </c>
      <c r="B26" s="3" t="n"/>
      <c r="C26" s="3" t="n"/>
      <c r="D26" s="3" t="n"/>
    </row>
    <row r="27">
      <c r="A27" s="5" t="inlineStr">
        <is>
          <t>Upsell on retained (0–1)</t>
        </is>
      </c>
      <c r="B27" s="3" t="n"/>
      <c r="C27" s="3" t="n"/>
      <c r="D27" s="3" t="n"/>
    </row>
    <row r="28">
      <c r="A28" s="5" t="inlineStr">
        <is>
          <t>Customers at model start</t>
        </is>
      </c>
      <c r="B28" s="3" t="n"/>
      <c r="C28" s="3" t="n"/>
      <c r="D28" s="3" t="n"/>
    </row>
    <row r="30">
      <c r="A30" s="5" t="inlineStr">
        <is>
          <t>NRR (formula, segment A)</t>
        </is>
      </c>
      <c r="B30" s="6">
        <f>(1-B26)*(1+B27)</f>
        <v/>
      </c>
      <c r="C30" s="6">
        <f>(1-C26)*(1+C27)</f>
        <v/>
      </c>
    </row>
    <row r="31">
      <c r="A31" s="7" t="inlineStr">
        <is>
          <t>Note: NRR here is a simple (1−churn)×(1+upsell) sketch, not a cohort engine.</t>
        </is>
      </c>
    </row>
  </sheetData>
  <autoFilter ref="A7:D7"/>
  <mergeCells count="3">
    <mergeCell ref="A1:D1"/>
    <mergeCell ref="A31:D3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6" customWidth="1" min="3" max="3"/>
    <col width="18" customWidth="1" min="4" max="4"/>
    <col width="14" customWidth="1" min="5" max="5"/>
    <col width="18" customWidth="1" min="6" max="6"/>
    <col width="22" customWidth="1" min="7" max="7"/>
    <col width="36" customWidth="1" min="8" max="8"/>
  </cols>
  <sheetData>
    <row r="1" ht="28" customHeight="1">
      <c r="A1" s="1" t="inlineStr">
        <is>
          <t>List people. Start month and ramp are inputs. Payroll ≠ quota-bearing.</t>
        </is>
      </c>
    </row>
    <row r="3" ht="22" customHeight="1">
      <c r="A3" s="4" t="inlineStr">
        <is>
          <t>Segment A or B</t>
        </is>
      </c>
      <c r="B3" s="4" t="inlineStr">
        <is>
          <t>Name</t>
        </is>
      </c>
      <c r="C3" s="4" t="inlineStr">
        <is>
          <t>Annual quota</t>
        </is>
      </c>
      <c r="D3" s="4" t="inlineStr">
        <is>
          <t>Start month (1–12)</t>
        </is>
      </c>
      <c r="E3" s="4" t="inlineStr">
        <is>
          <t>Ramp months</t>
        </is>
      </c>
      <c r="F3" s="4" t="inlineStr">
        <is>
          <t>M1 on payroll (1/0)</t>
        </is>
      </c>
      <c r="G3" s="4" t="inlineStr">
        <is>
          <t>M1 quota-bearing (1/0)</t>
        </is>
      </c>
      <c r="H3" s="4" t="inlineStr">
        <is>
          <t>Notes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</row>
    <row r="17">
      <c r="A17" s="5" t="inlineStr">
        <is>
          <t>Payroll count</t>
        </is>
      </c>
      <c r="B17">
        <f>COUNTA(B4:B15)</f>
        <v/>
      </c>
    </row>
    <row r="18">
      <c r="A18" s="5" t="inlineStr">
        <is>
          <t>Quota-bearing this snapshot (sum of M1 quota-bearing)</t>
        </is>
      </c>
      <c r="B18">
        <f>SUM(G4:G15)</f>
        <v/>
      </c>
    </row>
  </sheetData>
  <autoFilter ref="A3:H3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 ht="28" customHeight="1">
      <c r="A1" s="1" t="inlineStr">
        <is>
          <t>Stage-to-stage. Put duration in your head: wins do not land in the month you created stage 1.</t>
        </is>
      </c>
    </row>
    <row r="2" ht="36" customHeight="1">
      <c r="A2" s="2" t="inlineStr">
        <is>
          <t>Yellow = volume in at stage 1. Conversions reference Assumptions. This is a 12-month sketch, not a delay engine—shift wins by stage length in your own calendar if cycle &gt; 1 month.</t>
        </is>
      </c>
    </row>
    <row r="4" ht="22" customHeight="1">
      <c r="A4" s="4" t="inlineStr">
        <is>
          <t>Line</t>
        </is>
      </c>
      <c r="B4" s="4" t="inlineStr">
        <is>
          <t>M1</t>
        </is>
      </c>
      <c r="C4" s="4" t="inlineStr">
        <is>
          <t>M2</t>
        </is>
      </c>
      <c r="D4" s="4" t="inlineStr">
        <is>
          <t>M3</t>
        </is>
      </c>
      <c r="E4" s="4" t="inlineStr">
        <is>
          <t>M4</t>
        </is>
      </c>
      <c r="F4" s="4" t="inlineStr">
        <is>
          <t>M5</t>
        </is>
      </c>
      <c r="G4" s="4" t="inlineStr">
        <is>
          <t>M6</t>
        </is>
      </c>
      <c r="H4" s="4" t="inlineStr">
        <is>
          <t>M7</t>
        </is>
      </c>
      <c r="I4" s="4" t="inlineStr">
        <is>
          <t>M8</t>
        </is>
      </c>
      <c r="J4" s="4" t="inlineStr">
        <is>
          <t>M9</t>
        </is>
      </c>
      <c r="K4" s="4" t="inlineStr">
        <is>
          <t>M10</t>
        </is>
      </c>
      <c r="L4" s="4" t="inlineStr">
        <is>
          <t>M11</t>
        </is>
      </c>
      <c r="M4" s="4" t="inlineStr">
        <is>
          <t>M12</t>
        </is>
      </c>
    </row>
    <row r="5">
      <c r="A5" t="inlineStr">
        <is>
          <t>Stage 1 in (input)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</row>
    <row r="6">
      <c r="A6" t="inlineStr">
        <is>
          <t>→ Stage 2 (formula, uses Assumptions conv A)</t>
        </is>
      </c>
      <c r="B6" s="8">
        <f>B5*Assumptions!B16</f>
        <v/>
      </c>
      <c r="C6" s="8">
        <f>C5*Assumptions!B16</f>
        <v/>
      </c>
      <c r="D6" s="8">
        <f>D5*Assumptions!B16</f>
        <v/>
      </c>
      <c r="E6" s="8">
        <f>E5*Assumptions!B16</f>
        <v/>
      </c>
      <c r="F6" s="8">
        <f>F5*Assumptions!B16</f>
        <v/>
      </c>
      <c r="G6" s="8">
        <f>G5*Assumptions!B16</f>
        <v/>
      </c>
      <c r="H6" s="8">
        <f>H5*Assumptions!B16</f>
        <v/>
      </c>
      <c r="I6" s="8">
        <f>I5*Assumptions!B16</f>
        <v/>
      </c>
      <c r="J6" s="8">
        <f>J5*Assumptions!B16</f>
        <v/>
      </c>
      <c r="K6" s="8">
        <f>K5*Assumptions!B16</f>
        <v/>
      </c>
      <c r="L6" s="8">
        <f>L5*Assumptions!B16</f>
        <v/>
      </c>
      <c r="M6" s="8">
        <f>M5*Assumptions!B16</f>
        <v/>
      </c>
    </row>
    <row r="7">
      <c r="A7" t="inlineStr">
        <is>
          <t>→ Stage 3</t>
        </is>
      </c>
      <c r="B7" s="8">
        <f>B6*Assumptions!B17</f>
        <v/>
      </c>
      <c r="C7" s="8">
        <f>C6*Assumptions!B17</f>
        <v/>
      </c>
      <c r="D7" s="8">
        <f>D6*Assumptions!B17</f>
        <v/>
      </c>
      <c r="E7" s="8">
        <f>E6*Assumptions!B17</f>
        <v/>
      </c>
      <c r="F7" s="8">
        <f>F6*Assumptions!B17</f>
        <v/>
      </c>
      <c r="G7" s="8">
        <f>G6*Assumptions!B17</f>
        <v/>
      </c>
      <c r="H7" s="8">
        <f>H6*Assumptions!B17</f>
        <v/>
      </c>
      <c r="I7" s="8">
        <f>I6*Assumptions!B17</f>
        <v/>
      </c>
      <c r="J7" s="8">
        <f>J6*Assumptions!B17</f>
        <v/>
      </c>
      <c r="K7" s="8">
        <f>K6*Assumptions!B17</f>
        <v/>
      </c>
      <c r="L7" s="8">
        <f>L6*Assumptions!B17</f>
        <v/>
      </c>
      <c r="M7" s="8">
        <f>M6*Assumptions!B17</f>
        <v/>
      </c>
    </row>
    <row r="8">
      <c r="A8" t="inlineStr">
        <is>
          <t>→ Won (same month sketch)</t>
        </is>
      </c>
      <c r="B8" s="9">
        <f>B7*Assumptions!B18</f>
        <v/>
      </c>
      <c r="C8" s="9">
        <f>C7*Assumptions!B18</f>
        <v/>
      </c>
      <c r="D8" s="9">
        <f>D7*Assumptions!B18</f>
        <v/>
      </c>
      <c r="E8" s="9">
        <f>E7*Assumptions!B18</f>
        <v/>
      </c>
      <c r="F8" s="9">
        <f>F7*Assumptions!B18</f>
        <v/>
      </c>
      <c r="G8" s="9">
        <f>G7*Assumptions!B18</f>
        <v/>
      </c>
      <c r="H8" s="9">
        <f>H7*Assumptions!B18</f>
        <v/>
      </c>
      <c r="I8" s="9">
        <f>I7*Assumptions!B18</f>
        <v/>
      </c>
      <c r="J8" s="9">
        <f>J7*Assumptions!B18</f>
        <v/>
      </c>
      <c r="K8" s="9">
        <f>K7*Assumptions!B18</f>
        <v/>
      </c>
      <c r="L8" s="9">
        <f>L7*Assumptions!B18</f>
        <v/>
      </c>
      <c r="M8" s="9">
        <f>M7*Assumptions!B18</f>
        <v/>
      </c>
    </row>
    <row r="10">
      <c r="A10" t="inlineStr">
        <is>
          <t>Won × segment A ACV (formula)</t>
        </is>
      </c>
      <c r="B10" s="10">
        <f>B8*Assumptions!B11</f>
        <v/>
      </c>
      <c r="C10" s="10">
        <f>C8*Assumptions!B11</f>
        <v/>
      </c>
      <c r="D10" s="10">
        <f>D8*Assumptions!B11</f>
        <v/>
      </c>
      <c r="E10" s="10">
        <f>E8*Assumptions!B11</f>
        <v/>
      </c>
      <c r="F10" s="10">
        <f>F8*Assumptions!B11</f>
        <v/>
      </c>
      <c r="G10" s="10">
        <f>G8*Assumptions!B11</f>
        <v/>
      </c>
      <c r="H10" s="10">
        <f>H8*Assumptions!B11</f>
        <v/>
      </c>
      <c r="I10" s="10">
        <f>I8*Assumptions!B11</f>
        <v/>
      </c>
      <c r="J10" s="10">
        <f>J8*Assumptions!B11</f>
        <v/>
      </c>
      <c r="K10" s="10">
        <f>K8*Assumptions!B11</f>
        <v/>
      </c>
      <c r="L10" s="10">
        <f>L8*Assumptions!B11</f>
        <v/>
      </c>
      <c r="M10" s="10">
        <f>M8*Assumptions!B11</f>
        <v/>
      </c>
    </row>
    <row r="12">
      <c r="A12" t="inlineStr">
        <is>
          <t>Reconcile in one sentence (input): demand SQOs vs these wins vs roster capacity.</t>
        </is>
      </c>
    </row>
    <row r="13" ht="36" customHeight="1">
      <c r="A13" s="3" t="n"/>
    </row>
  </sheetData>
  <autoFilter ref="A4:M4"/>
  <mergeCells count="4">
    <mergeCell ref="A12:N12"/>
    <mergeCell ref="A13:N13"/>
    <mergeCell ref="A2:N2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40" customWidth="1" min="4" max="4"/>
    <col width="12" customWidth="1" min="5" max="5"/>
  </cols>
  <sheetData>
    <row r="1" ht="28" customHeight="1">
      <c r="A1" s="1" t="inlineStr">
        <is>
          <t>Retention is a parent of the number. New logo cannot silently cover a leak.</t>
        </is>
      </c>
    </row>
    <row r="3" ht="22" customHeight="1">
      <c r="A3" s="4" t="inlineStr">
        <is>
          <t>Item</t>
        </is>
      </c>
      <c r="B3" s="4" t="inlineStr">
        <is>
          <t>Segment A</t>
        </is>
      </c>
      <c r="C3" s="4" t="inlineStr">
        <is>
          <t>Segment B</t>
        </is>
      </c>
      <c r="D3" s="4" t="inlineStr">
        <is>
          <t>Formula / note</t>
        </is>
      </c>
      <c r="E3" s="4" t="inlineStr"/>
    </row>
    <row r="4">
      <c r="A4" s="5" t="inlineStr">
        <is>
          <t>Starting customers</t>
        </is>
      </c>
      <c r="B4">
        <f>Assumptions!B28</f>
        <v/>
      </c>
      <c r="C4">
        <f>Assumptions!C28</f>
        <v/>
      </c>
    </row>
    <row r="5">
      <c r="A5" s="5" t="inlineStr">
        <is>
          <t>Up for renewal this year (input if not all)</t>
        </is>
      </c>
      <c r="B5" s="3" t="n"/>
      <c r="C5" s="3" t="n"/>
    </row>
    <row r="6">
      <c r="A6" s="5" t="inlineStr">
        <is>
          <t>Expected retained logos</t>
        </is>
      </c>
      <c r="B6">
        <f>IF(B5="","",B5*(1-Assumptions!B26))</f>
        <v/>
      </c>
      <c r="C6">
        <f>IF(C5="","",C5*(1-Assumptions!C26))</f>
        <v/>
      </c>
    </row>
    <row r="7">
      <c r="A7" s="5" t="inlineStr">
        <is>
          <t>NRR sketch</t>
        </is>
      </c>
      <c r="B7" s="6">
        <f>Assumptions!B30</f>
        <v/>
      </c>
      <c r="C7" s="6">
        <f>Assumptions!C30</f>
        <v/>
      </c>
    </row>
    <row r="9">
      <c r="A9" t="inlineStr">
        <is>
          <t>If NRR &lt; 1, write how much new logo must cover the leak:</t>
        </is>
      </c>
    </row>
    <row r="10" ht="36" customHeight="1">
      <c r="A10" s="3" t="n"/>
    </row>
  </sheetData>
  <autoFilter ref="A3:E3"/>
  <mergeCells count="3">
    <mergeCell ref="A10:C10"/>
    <mergeCell ref="A9:C9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Invented — not your quota. Clear Assumptions before this file is a board artifact.</t>
        </is>
      </c>
    </row>
    <row r="3" ht="40" customHeight="1">
      <c r="A3" s="5" t="inlineStr">
        <is>
          <t>Story</t>
        </is>
      </c>
      <c r="B3" s="11" t="inlineStr">
        <is>
          <t>4 MM AEs (one ramping), 2 enterprise (one starts month 7). Attainment from last year 0.75 / 0.70. 40 customers already on the book.</t>
        </is>
      </c>
    </row>
    <row r="4" ht="40" customHeight="1">
      <c r="A4" s="5" t="inlineStr">
        <is>
          <t>Constraint</t>
        </is>
      </c>
      <c r="B4" s="11" t="inlineStr">
        <is>
          <t>Demand creates ~15 SQO/month; capacity works ~12. Do not hire AE five.</t>
        </is>
      </c>
    </row>
    <row r="5" ht="40" customHeight="1">
      <c r="A5" s="5" t="inlineStr">
        <is>
          <t>Do not copy</t>
        </is>
      </c>
      <c r="B5" s="11" t="inlineStr">
        <is>
          <t>Any $ quota, 78% attainment, or 5-year logo table you saw in a sample model.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2026-08-29T16:05:38Z</dcterms:created>
  <dcterms:modified xsi:type="dcterms:W3CDTF">2026-08-29T16:05:38Z</dcterms:modified>
</cp:coreProperties>
</file>