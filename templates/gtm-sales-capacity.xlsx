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d41ea6156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39e70dbd7364285"/>
    <x:sheet xmlns:r="http://schemas.openxmlformats.org/officeDocument/2006/relationships" name="AE roster" sheetId="2" r:id="R36072e5336b0490f"/>
    <x:sheet xmlns:r="http://schemas.openxmlformats.org/officeDocument/2006/relationships" name="Waterfall" sheetId="3" r:id="R1a68acdeb2024ba7"/>
    <x:sheet xmlns:r="http://schemas.openxmlformats.org/officeDocument/2006/relationships" name="Renewals" sheetId="4" r:id="Ra7acfa89bd524cff"/>
    <x:sheet xmlns:r="http://schemas.openxmlformats.org/officeDocument/2006/relationships" name="Teaching fill" sheetId="5" r:id="R72c2d97deaf3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$#,##0"/>
    <x:numFmt numFmtId="200" formatCode="0.0%"/>
  </x:numFmts>
  <x:fonts count="6">
    <x:font>
      <x:sz val="11"/>
      <x:color theme="1"/>
      <x:name val="Calibri"/>
    </x:font>
    <x:font>
      <x:b/>
      <x:sz val="16"/>
      <x:color rgb="FF1B3A4B"/>
      <x:name val="Calibri"/>
    </x:font>
    <x:font>
      <x:i/>
      <x:sz val="10"/>
      <x:color rgb="FF5C6B73"/>
      <x:name val="Calibri"/>
    </x:font>
    <x:font>
      <x:sz val="11"/>
      <x:color rgb="FF1A1A1A"/>
      <x:name val="Calibri"/>
    </x:font>
    <x:font>
      <x:b/>
      <x:sz val="11"/>
      <x:color rgb="FFFFFFFF"/>
      <x:name val="Calibri"/>
    </x:font>
    <x:font>
      <x:b/>
      <x:sz val="11"/>
      <x:color rgb="FF1A1A1A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7F4EF"/>
      </x:patternFill>
    </x:fill>
    <x:fill>
      <x:patternFill patternType="solid">
        <x:fgColor rgb="FFFFF3C4"/>
      </x:patternFill>
    </x:fill>
    <x:fill>
      <x:patternFill patternType="solid">
        <x:fgColor rgb="FF1B3A4B"/>
      </x:patternFill>
    </x:fill>
    <x:fill>
      <x:patternFill patternType="solid">
        <x:fgColor rgb="FFE8F0E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4" fillId="4" borderId="0" xfId="0" applyAlignment="1">
      <x:alignment vertical="center" wrapText="1"/>
    </x:xf>
    <x:xf numFmtId="0" fontId="5" fillId="0" borderId="0" xfId="0"/>
    <x:xf numFmtId="2" fontId="0" fillId="0" borderId="0" xfId="0"/>
    <x:xf numFmtId="0" fontId="2" fillId="0" borderId="0" xfId="0"/>
    <x:xf numFmtId="164" fontId="0" fillId="0" borderId="0" xfId="0"/>
    <x:xf numFmtId="164" fontId="5" fillId="0" borderId="0" xfId="0"/>
    <x:xf numFmtId="165" fontId="0" fillId="0" borderId="0" xfId="0"/>
    <x:xf numFmtId="0" fontId="0" fillId="5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7bde26c2143d7" /><Relationship Type="http://schemas.openxmlformats.org/officeDocument/2006/relationships/theme" Target="/xl/theme/theme1.xml" Id="Rcd81ff4916e94e46" /><Relationship Type="http://schemas.openxmlformats.org/officeDocument/2006/relationships/sharedStrings" Target="/xl/sharedStrings.xml" Id="R02fb57d0382f462e" /><Relationship Type="http://schemas.openxmlformats.org/officeDocument/2006/relationships/worksheet" Target="/xl/worksheets/sheet1.xml" Id="R839e70dbd7364285" /><Relationship Type="http://schemas.openxmlformats.org/officeDocument/2006/relationships/worksheet" Target="/xl/worksheets/sheet2.xml" Id="R36072e5336b0490f" /><Relationship Type="http://schemas.openxmlformats.org/officeDocument/2006/relationships/worksheet" Target="/xl/worksheets/sheet3.xml" Id="R1a68acdeb2024ba7" /><Relationship Type="http://schemas.openxmlformats.org/officeDocument/2006/relationships/worksheet" Target="/xl/worksheets/sheet4.xml" Id="Ra7acfa89bd524cff" /><Relationship Type="http://schemas.openxmlformats.org/officeDocument/2006/relationships/worksheet" Target="/xl/worksheets/sheet5.xml" Id="R72c2d97deaf349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baseColWidth="8" defaultRowHeight="15"/>
  <x:cols>
    <x:col min="1" max="1" width="36" customWidth="1"/>
    <x:col min="2" max="2" width="24" customWidth="1"/>
    <x:col min="3" max="3" width="24" customWidth="1"/>
    <x:col min="4" max="4" width="40" customWidth="1"/>
  </x:cols>
  <x:sheetData>
    <x:row r="1" ht="28" customHeight="1">
      <x:c r="A1" s="1" t="inlineStr">
        <x:is>
          <x:t xml:space="preserve">B2B Playbook · Sales capacity — change inputs only</x:t>
        </x:is>
      </x:c>
    </x:row>
    <x:row r="2" ht="36" customHeight="1">
      <x:c r="A2" s="2" t="inlineStr">
        <x:is>
          <x:t xml:space="preserve">Yellow cells drive every other sheet. Sample numbers on Teaching fill are invented. Stage names must match CRM and forecasting. Copyright © 2026 Ivan Xu.</x:t>
        </x:is>
      </x:c>
    </x:row>
    <x:row r="4">
      <x:c r="A4" t="inlineStr">
        <x:is>
          <x:t xml:space="preserve">Model start (month 1)</x:t>
        </x:is>
      </x:c>
      <x:c r="B4" s="3" t="n"/>
      <x:c r="C4" t="inlineStr">
        <x:is>
          <x:t xml:space="preserve">Owner</x:t>
        </x:is>
      </x:c>
      <x:c r="D4" s="3" t="n"/>
    </x:row>
    <x:row r="5">
      <x:c r="A5" t="str">
        <x:v>Final output (map demand to entry stage)</x:v>
      </x:c>
      <x:c r="B5" s="3" t="inlineStr">
        <x:is>
          <x:t xml:space="preserve">Closed won</x:t>
        </x:is>
      </x:c>
    </x:row>
    <x:row r="7" ht="22" customHeight="1">
      <x:c r="A7" s="4" t="inlineStr">
        <x:is>
          <x:t xml:space="preserve">Input</x:t>
        </x:is>
      </x:c>
      <x:c r="B7" s="4" t="inlineStr">
        <x:is>
          <x:t xml:space="preserve">Segment A (e.g. MM)</x:t>
        </x:is>
      </x:c>
      <x:c r="C7" s="4" t="inlineStr">
        <x:is>
          <x:t xml:space="preserve">Segment B (e.g. Ent)</x:t>
        </x:is>
      </x:c>
      <x:c r="D7" s="4" t="inlineStr">
        <x:is>
          <x:t xml:space="preserve">Notes</x:t>
        </x:is>
      </x:c>
    </x:row>
    <x:row r="8">
      <x:c r="A8" s="5" t="inlineStr">
        <x:is>
          <x:t xml:space="preserve">Annual quota / AE</x:t>
        </x:is>
      </x:c>
      <x:c r="B8" s="3" t="n"/>
      <x:c r="C8" s="3" t="n"/>
      <x:c r="D8" s="3" t="n"/>
    </x:row>
    <x:row r="9">
      <x:c r="A9" s="5" t="inlineStr">
        <x:is>
          <x:t xml:space="preserve">Expected attainment (0–1)</x:t>
        </x:is>
      </x:c>
      <x:c r="B9" s="3" t="n"/>
      <x:c r="C9" s="3" t="n"/>
      <x:c r="D9" s="3" t="n"/>
    </x:row>
    <x:row r="10">
      <x:c r="A10" s="5" t="inlineStr">
        <x:is>
          <x:t xml:space="preserve">Ramp months</x:t>
        </x:is>
      </x:c>
      <x:c r="B10" s="3" t="n"/>
      <x:c r="C10" s="3" t="n"/>
      <x:c r="D10" s="3" t="n"/>
    </x:row>
    <x:row r="11">
      <x:c r="A11" s="5" t="inlineStr">
        <x:is>
          <x:t xml:space="preserve">Average first-contract value</x:t>
        </x:is>
      </x:c>
      <x:c r="B11" s="3" t="n"/>
      <x:c r="C11" s="3" t="n"/>
      <x:c r="D11" s="3" t="n"/>
    </x:row>
    <x:row r="12">
      <x:c r="A12" s="5" t="inlineStr">
        <x:is>
          <x:t xml:space="preserve">Stage 1 name</x:t>
        </x:is>
      </x:c>
      <x:c r="B12" s="3" t="n"/>
      <x:c r="C12" s="3" t="n"/>
      <x:c r="D12" s="3" t="n"/>
    </x:row>
    <x:row r="13">
      <x:c r="A13" s="5" t="inlineStr">
        <x:is>
          <x:t xml:space="preserve">Stage 2 name</x:t>
        </x:is>
      </x:c>
      <x:c r="B13" s="3" t="n"/>
      <x:c r="C13" s="3" t="n"/>
      <x:c r="D13" s="3" t="n"/>
    </x:row>
    <x:row r="14">
      <x:c r="A14" s="5" t="inlineStr">
        <x:is>
          <x:t xml:space="preserve">Stage 3 name</x:t>
        </x:is>
      </x:c>
      <x:c r="B14" s="3" t="n"/>
      <x:c r="C14" s="3" t="n"/>
      <x:c r="D14" s="3" t="n"/>
    </x:row>
    <x:row r="15">
      <x:c r="A15" s="5" t="inlineStr">
        <x:is>
          <x:t xml:space="preserve">Stage 4 (won) name</x:t>
        </x:is>
      </x:c>
      <x:c r="B15" s="3" t="n"/>
      <x:c r="C15" s="3" t="n"/>
      <x:c r="D15" s="3" t="n"/>
    </x:row>
    <x:row r="16">
      <x:c r="A16" s="5" t="inlineStr">
        <x:is>
          <x:t xml:space="preserve">Conv stage1 → 2</x:t>
        </x:is>
      </x:c>
      <x:c r="B16" s="3" t="n"/>
      <x:c r="C16" s="3" t="n"/>
      <x:c r="D16" s="3" t="n"/>
    </x:row>
    <x:row r="17">
      <x:c r="A17" s="5" t="inlineStr">
        <x:is>
          <x:t xml:space="preserve">Conv stage2 → 3</x:t>
        </x:is>
      </x:c>
      <x:c r="B17" s="3" t="n"/>
      <x:c r="C17" s="3" t="n"/>
      <x:c r="D17" s="3" t="n"/>
    </x:row>
    <x:row r="18">
      <x:c r="A18" s="5" t="inlineStr">
        <x:is>
          <x:t xml:space="preserve">Conv stage3 → won</x:t>
        </x:is>
      </x:c>
      <x:c r="B18" s="3" t="n"/>
      <x:c r="C18" s="3" t="n"/>
      <x:c r="D18" s="3" t="n"/>
    </x:row>
    <x:row r="19">
      <x:c r="A19" s="5" t="inlineStr">
        <x:is>
          <x:t xml:space="preserve">Stage 1 length (months)</x:t>
        </x:is>
      </x:c>
      <x:c r="B19" s="3" t="n"/>
      <x:c r="C19" s="3" t="n"/>
      <x:c r="D19" s="3" t="n"/>
    </x:row>
    <x:row r="20">
      <x:c r="A20" s="5" t="inlineStr">
        <x:is>
          <x:t xml:space="preserve">Stage 2 length (months)</x:t>
        </x:is>
      </x:c>
      <x:c r="B20" s="3" t="n"/>
      <x:c r="C20" s="3" t="n"/>
      <x:c r="D20" s="3" t="n"/>
    </x:row>
    <x:row r="21">
      <x:c r="A21" s="5" t="inlineStr">
        <x:is>
          <x:t xml:space="preserve">Stage 3 length (months)</x:t>
        </x:is>
      </x:c>
      <x:c r="B21" s="3" t="n"/>
      <x:c r="C21" s="3" t="n"/>
      <x:c r="D21" s="3" t="n"/>
    </x:row>
    <x:row r="22">
      <x:c r="A22" s="5" t="inlineStr">
        <x:is>
          <x:t xml:space="preserve">AEs supported per SDR</x:t>
        </x:is>
      </x:c>
      <x:c r="B22" s="3" t="n"/>
      <x:c r="C22" s="3" t="n"/>
      <x:c r="D22" s="3" t="n"/>
    </x:row>
    <x:row r="23">
      <x:c r="A23" s="5" t="inlineStr">
        <x:is>
          <x:t xml:space="preserve">AEs supported per SE</x:t>
        </x:is>
      </x:c>
      <x:c r="B23" s="3" t="n"/>
      <x:c r="C23" s="3" t="n"/>
      <x:c r="D23" s="3" t="n"/>
    </x:row>
    <x:row r="24">
      <x:c r="A24" s="5" t="inlineStr">
        <x:is>
          <x:t xml:space="preserve">AEs supported per manager</x:t>
        </x:is>
      </x:c>
      <x:c r="B24" s="3" t="n"/>
      <x:c r="C24" s="3" t="n"/>
      <x:c r="D24" s="3" t="n"/>
    </x:row>
    <x:row r="25">
      <x:c r="A25" s="5" t="inlineStr">
        <x:is>
          <x:t xml:space="preserve">Contract term (months)</x:t>
        </x:is>
      </x:c>
      <x:c r="B25" s="3" t="n"/>
      <x:c r="C25" s="3" t="n"/>
      <x:c r="D25" s="3" t="n"/>
    </x:row>
    <x:row r="26">
      <x:c r="A26" s="5" t="inlineStr">
        <x:is>
          <x:t xml:space="preserve">Logo churn at renewal (0–1)</x:t>
        </x:is>
      </x:c>
      <x:c r="B26" s="3" t="n"/>
      <x:c r="C26" s="3" t="n"/>
      <x:c r="D26" s="3" t="n"/>
    </x:row>
    <x:row r="27">
      <x:c r="A27" s="5" t="inlineStr">
        <x:is>
          <x:t xml:space="preserve">Upsell on retained (0–1)</x:t>
        </x:is>
      </x:c>
      <x:c r="B27" s="3" t="n"/>
      <x:c r="C27" s="3" t="n"/>
      <x:c r="D27" s="3" t="n"/>
    </x:row>
    <x:row r="28">
      <x:c r="A28" s="5" t="inlineStr">
        <x:is>
          <x:t xml:space="preserve">Customers at model start</x:t>
        </x:is>
      </x:c>
      <x:c r="B28" s="3" t="n"/>
      <x:c r="C28" s="3" t="n"/>
      <x:c r="D28" s="3" t="n"/>
    </x:row>
    <x:row r="30">
      <x:c r="A30" s="5" t="str">
        <x:v>Retention proxy (not measured NRR)</x:v>
      </x:c>
      <x:c r="B30" s="12" t="str">
        <x:f>IF(COUNT(B26:B27)&lt;&gt;2,"incomplete",IF(AND(B26&gt;=0,B26&lt;=1,B27&gt;=0,B27&lt;=1),(1-B26)*(1+B27),"invalid input"))</x:f>
        <x:v>incomplete</x:v>
      </x:c>
      <x:c r="C30" s="12" t="str">
        <x:f>IF(COUNT(C26:C27)&lt;&gt;2,"incomplete",IF(AND(C26&gt;=0,C26&lt;=1,C27&gt;=0,C27&lt;=1),(1-C26)*(1+C27),"invalid input"))</x:f>
        <x:v>incomplete</x:v>
      </x:c>
    </x:row>
    <x:row r="31" ht="32" customHeight="1">
      <x:c r="A31" s="13" t="str">
        <x:v>Equal starting revenue per customer assumed; excludes contraction. Use revenue cohorts for actual NRR.</x:v>
      </x:c>
    </x:row>
  </x:sheetData>
  <x:mergeCells>
    <x:mergeCell ref="A1:D1"/>
    <x:mergeCell ref="A31:D3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22" customWidth="1"/>
    <x:col min="3" max="3" width="16" customWidth="1"/>
    <x:col min="4" max="4" width="18" customWidth="1"/>
    <x:col min="5" max="5" width="14" customWidth="1"/>
    <x:col min="6" max="6" width="18" customWidth="1"/>
    <x:col min="7" max="7" width="22" customWidth="1"/>
    <x:col min="8" max="8" width="36" customWidth="1"/>
  </x:cols>
  <x:sheetData>
    <x:row r="1" ht="28" customHeight="1">
      <x:c r="A1" s="1" t="inlineStr">
        <x:is>
          <x:t xml:space="preserve">List people. Start month and ramp are inputs. Payroll ≠ quota-bearing.</x:t>
        </x:is>
      </x:c>
    </x:row>
    <x:row r="3" ht="22" customHeight="1">
      <x:c r="A3" s="4" t="inlineStr">
        <x:is>
          <x:t xml:space="preserve">Segment A or B</x:t>
        </x:is>
      </x:c>
      <x:c r="B3" s="4" t="inlineStr">
        <x:is>
          <x:t xml:space="preserve">Name</x:t>
        </x:is>
      </x:c>
      <x:c r="C3" s="4" t="inlineStr">
        <x:is>
          <x:t xml:space="preserve">Annual quota</x:t>
        </x:is>
      </x:c>
      <x:c r="D3" s="4" t="inlineStr">
        <x:is>
          <x:t xml:space="preserve">Start month (1–12)</x:t>
        </x:is>
      </x:c>
      <x:c r="E3" s="4" t="inlineStr">
        <x:is>
          <x:t xml:space="preserve">Ramp months</x:t>
        </x:is>
      </x:c>
      <x:c r="F3" s="4" t="inlineStr">
        <x:is>
          <x:t xml:space="preserve">M1 on payroll (1/0)</x:t>
        </x:is>
      </x:c>
      <x:c r="G3" s="4" t="inlineStr">
        <x:is>
          <x:t xml:space="preserve">M1 quota-bearing (1/0)</x:t>
        </x:is>
      </x:c>
      <x:c r="H3" s="4" t="inlineStr">
        <x:is>
          <x:t xml:space="preserve">Notes</x:t>
        </x:is>
      </x:c>
    </x:row>
    <x:row r="4">
      <x:c r="A4" s="3" t="n"/>
      <x:c r="B4" s="3" t="n"/>
      <x:c r="C4" s="3" t="n"/>
      <x:c r="D4" s="3" t="n"/>
      <x:c r="E4" s="3" t="n"/>
      <x:c r="F4" s="3" t="n"/>
      <x:c r="G4" s="3" t="n"/>
      <x:c r="H4" s="3" t="n"/>
    </x:row>
    <x:row r="5">
      <x:c r="A5" s="3" t="n"/>
      <x:c r="B5" s="3" t="n"/>
      <x:c r="C5" s="3" t="n"/>
      <x:c r="D5" s="3" t="n"/>
      <x:c r="E5" s="3" t="n"/>
      <x:c r="F5" s="3" t="n"/>
      <x:c r="G5" s="3" t="n"/>
      <x:c r="H5" s="3" t="n"/>
    </x:row>
    <x:row r="6">
      <x:c r="A6" s="3" t="n"/>
      <x:c r="B6" s="3" t="n"/>
      <x:c r="C6" s="3" t="n"/>
      <x:c r="D6" s="3" t="n"/>
      <x:c r="E6" s="3" t="n"/>
      <x:c r="F6" s="3" t="n"/>
      <x:c r="G6" s="3" t="n"/>
      <x:c r="H6" s="3" t="n"/>
    </x:row>
    <x:row r="7">
      <x:c r="A7" s="3" t="n"/>
      <x:c r="B7" s="3" t="n"/>
      <x:c r="C7" s="3" t="n"/>
      <x:c r="D7" s="3" t="n"/>
      <x:c r="E7" s="3" t="n"/>
      <x:c r="F7" s="3" t="n"/>
      <x:c r="G7" s="3" t="n"/>
      <x:c r="H7" s="3" t="n"/>
    </x:row>
    <x:row r="8">
      <x:c r="A8" s="3" t="n"/>
      <x:c r="B8" s="3" t="n"/>
      <x:c r="C8" s="3" t="n"/>
      <x:c r="D8" s="3" t="n"/>
      <x:c r="E8" s="3" t="n"/>
      <x:c r="F8" s="3" t="n"/>
      <x:c r="G8" s="3" t="n"/>
      <x:c r="H8" s="3" t="n"/>
    </x:row>
    <x:row r="9">
      <x:c r="A9" s="3" t="n"/>
      <x:c r="B9" s="3" t="n"/>
      <x:c r="C9" s="3" t="n"/>
      <x:c r="D9" s="3" t="n"/>
      <x:c r="E9" s="3" t="n"/>
      <x:c r="F9" s="3" t="n"/>
      <x:c r="G9" s="3" t="n"/>
      <x:c r="H9" s="3" t="n"/>
    </x:row>
    <x:row r="10">
      <x:c r="A10" s="3" t="n"/>
      <x:c r="B10" s="3" t="n"/>
      <x:c r="C10" s="3" t="n"/>
      <x:c r="D10" s="3" t="n"/>
      <x:c r="E10" s="3" t="n"/>
      <x:c r="F10" s="3" t="n"/>
      <x:c r="G10" s="3" t="n"/>
      <x:c r="H10" s="3" t="n"/>
    </x:row>
    <x:row r="11">
      <x:c r="A11" s="3" t="n"/>
      <x:c r="B11" s="3" t="n"/>
      <x:c r="C11" s="3" t="n"/>
      <x:c r="D11" s="3" t="n"/>
      <x:c r="E11" s="3" t="n"/>
      <x:c r="F11" s="3" t="n"/>
      <x:c r="G11" s="3" t="n"/>
      <x:c r="H11" s="3" t="n"/>
    </x:row>
    <x:row r="12">
      <x:c r="A12" s="3" t="n"/>
      <x:c r="B12" s="3" t="n"/>
      <x:c r="C12" s="3" t="n"/>
      <x:c r="D12" s="3" t="n"/>
      <x:c r="E12" s="3" t="n"/>
      <x:c r="F12" s="3" t="n"/>
      <x:c r="G12" s="3" t="n"/>
      <x:c r="H12" s="3" t="n"/>
    </x:row>
    <x:row r="13">
      <x:c r="A13" s="3" t="n"/>
      <x:c r="B13" s="3" t="n"/>
      <x:c r="C13" s="3" t="n"/>
      <x:c r="D13" s="3" t="n"/>
      <x:c r="E13" s="3" t="n"/>
      <x:c r="F13" s="3" t="n"/>
      <x:c r="G13" s="3" t="n"/>
      <x:c r="H13" s="3" t="n"/>
    </x:row>
    <x:row r="14">
      <x:c r="A14" s="3" t="n"/>
      <x:c r="B14" s="3" t="n"/>
      <x:c r="C14" s="3" t="n"/>
      <x:c r="D14" s="3" t="n"/>
      <x:c r="E14" s="3" t="n"/>
      <x:c r="F14" s="3" t="n"/>
      <x:c r="G14" s="3" t="n"/>
      <x:c r="H14" s="3" t="n"/>
    </x:row>
    <x:row r="15">
      <x:c r="A15" s="3" t="n"/>
      <x:c r="B15" s="3" t="n"/>
      <x:c r="C15" s="3" t="n"/>
      <x:c r="D15" s="3" t="n"/>
      <x:c r="E15" s="3" t="n"/>
      <x:c r="F15" s="3" t="n"/>
      <x:c r="G15" s="3" t="n"/>
      <x:c r="H15" s="3" t="n"/>
    </x:row>
    <x:row r="17">
      <x:c r="A17" s="5" t="inlineStr">
        <x:is>
          <x:t xml:space="preserve">Payroll count</x:t>
        </x:is>
      </x:c>
      <x:c r="B17" t="n">
        <x:f>COUNTA(B4:B15)</x:f>
        <x:v>0</x:v>
      </x:c>
    </x:row>
    <x:row r="18">
      <x:c r="A18" s="5" t="inlineStr">
        <x:is>
          <x:t xml:space="preserve">Quota-bearing this snapshot (sum of M1 quota-bearing)</x:t>
        </x:is>
      </x:c>
      <x:c r="B18" t="n">
        <x:f>SUM(G4:G15)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</x:cols>
  <x:sheetData>
    <x:row r="1" ht="28" customHeight="1">
      <x:c r="A1" s="1" t="inlineStr">
        <x:is>
          <x:t xml:space="preserve">Stage-to-stage. Put duration in your head: wins do not land in the month you created stage 1.</x:t>
        </x:is>
      </x:c>
    </x:row>
    <x:row r="2" ht="36" customHeight="1">
      <x:c r="A2" s="2" t="inlineStr">
        <x:is>
          <x:t xml:space="preserve">Yellow = volume in at stage 1. Conversions reference Assumptions. This is a 12-month sketch, not a delay engine—shift wins by stage length in your own calendar if cycle &gt; 1 month.</x:t>
        </x:is>
      </x:c>
    </x:row>
    <x:row r="4" ht="22" customHeight="1">
      <x:c r="A4" s="4" t="inlineStr">
        <x:is>
          <x:t xml:space="preserve">Line</x:t>
        </x:is>
      </x:c>
      <x:c r="B4" s="4" t="inlineStr">
        <x:is>
          <x:t xml:space="preserve">M1</x:t>
        </x:is>
      </x:c>
      <x:c r="C4" s="4" t="inlineStr">
        <x:is>
          <x:t xml:space="preserve">M2</x:t>
        </x:is>
      </x:c>
      <x:c r="D4" s="4" t="inlineStr">
        <x:is>
          <x:t xml:space="preserve">M3</x:t>
        </x:is>
      </x:c>
      <x:c r="E4" s="4" t="inlineStr">
        <x:is>
          <x:t xml:space="preserve">M4</x:t>
        </x:is>
      </x:c>
      <x:c r="F4" s="4" t="inlineStr">
        <x:is>
          <x:t xml:space="preserve">M5</x:t>
        </x:is>
      </x:c>
      <x:c r="G4" s="4" t="inlineStr">
        <x:is>
          <x:t xml:space="preserve">M6</x:t>
        </x:is>
      </x:c>
      <x:c r="H4" s="4" t="inlineStr">
        <x:is>
          <x:t xml:space="preserve">M7</x:t>
        </x:is>
      </x:c>
      <x:c r="I4" s="4" t="inlineStr">
        <x:is>
          <x:t xml:space="preserve">M8</x:t>
        </x:is>
      </x:c>
      <x:c r="J4" s="4" t="inlineStr">
        <x:is>
          <x:t xml:space="preserve">M9</x:t>
        </x:is>
      </x:c>
      <x:c r="K4" s="4" t="inlineStr">
        <x:is>
          <x:t xml:space="preserve">M10</x:t>
        </x:is>
      </x:c>
      <x:c r="L4" s="4" t="inlineStr">
        <x:is>
          <x:t xml:space="preserve">M11</x:t>
        </x:is>
      </x:c>
      <x:c r="M4" s="4" t="inlineStr">
        <x:is>
          <x:t xml:space="preserve">M12</x:t>
        </x:is>
      </x:c>
    </x:row>
    <x:row r="5">
      <x:c r="A5" t="inlineStr">
        <x:is>
          <x:t xml:space="preserve">Stage 1 in (input)</x:t>
        </x:is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</x:row>
    <x:row r="6">
      <x:c r="A6" t="inlineStr">
        <x:is>
          <x:t xml:space="preserve">→ Stage 2 (formula, uses Assumptions conv A)</x:t>
        </x:is>
      </x:c>
      <x:c r="B6" s="8" t="str">
        <x:f>IF(COUNT(B5,Assumptions!B16)&lt;&gt;2,"incomplete",IF(AND(B5&gt;=0,Assumptions!B16&gt;=0,Assumptions!B16&lt;=1),B5*Assumptions!B16,"invalid input"))</x:f>
        <x:v>incomplete</x:v>
      </x:c>
      <x:c r="C6" s="8" t="str">
        <x:f>IF(COUNT(C5,Assumptions!B16)&lt;&gt;2,"incomplete",IF(AND(C5&gt;=0,Assumptions!B16&gt;=0,Assumptions!B16&lt;=1),C5*Assumptions!B16,"invalid input"))</x:f>
        <x:v>incomplete</x:v>
      </x:c>
      <x:c r="D6" s="8" t="str">
        <x:f>IF(COUNT(D5,Assumptions!B16)&lt;&gt;2,"incomplete",IF(AND(D5&gt;=0,Assumptions!B16&gt;=0,Assumptions!B16&lt;=1),D5*Assumptions!B16,"invalid input"))</x:f>
        <x:v>incomplete</x:v>
      </x:c>
      <x:c r="E6" s="8" t="str">
        <x:f>IF(COUNT(E5,Assumptions!B16)&lt;&gt;2,"incomplete",IF(AND(E5&gt;=0,Assumptions!B16&gt;=0,Assumptions!B16&lt;=1),E5*Assumptions!B16,"invalid input"))</x:f>
        <x:v>incomplete</x:v>
      </x:c>
      <x:c r="F6" s="8" t="str">
        <x:f>IF(COUNT(F5,Assumptions!B16)&lt;&gt;2,"incomplete",IF(AND(F5&gt;=0,Assumptions!B16&gt;=0,Assumptions!B16&lt;=1),F5*Assumptions!B16,"invalid input"))</x:f>
        <x:v>incomplete</x:v>
      </x:c>
      <x:c r="G6" s="8" t="str">
        <x:f>IF(COUNT(G5,Assumptions!B16)&lt;&gt;2,"incomplete",IF(AND(G5&gt;=0,Assumptions!B16&gt;=0,Assumptions!B16&lt;=1),G5*Assumptions!B16,"invalid input"))</x:f>
        <x:v>incomplete</x:v>
      </x:c>
      <x:c r="H6" s="8" t="str">
        <x:f>IF(COUNT(H5,Assumptions!B16)&lt;&gt;2,"incomplete",IF(AND(H5&gt;=0,Assumptions!B16&gt;=0,Assumptions!B16&lt;=1),H5*Assumptions!B16,"invalid input"))</x:f>
        <x:v>incomplete</x:v>
      </x:c>
      <x:c r="I6" s="8" t="str">
        <x:f>IF(COUNT(I5,Assumptions!B16)&lt;&gt;2,"incomplete",IF(AND(I5&gt;=0,Assumptions!B16&gt;=0,Assumptions!B16&lt;=1),I5*Assumptions!B16,"invalid input"))</x:f>
        <x:v>incomplete</x:v>
      </x:c>
      <x:c r="J6" s="8" t="str">
        <x:f>IF(COUNT(J5,Assumptions!B16)&lt;&gt;2,"incomplete",IF(AND(J5&gt;=0,Assumptions!B16&gt;=0,Assumptions!B16&lt;=1),J5*Assumptions!B16,"invalid input"))</x:f>
        <x:v>incomplete</x:v>
      </x:c>
      <x:c r="K6" s="8" t="str">
        <x:f>IF(COUNT(K5,Assumptions!B16)&lt;&gt;2,"incomplete",IF(AND(K5&gt;=0,Assumptions!B16&gt;=0,Assumptions!B16&lt;=1),K5*Assumptions!B16,"invalid input"))</x:f>
        <x:v>incomplete</x:v>
      </x:c>
      <x:c r="L6" s="8" t="str">
        <x:f>IF(COUNT(L5,Assumptions!B16)&lt;&gt;2,"incomplete",IF(AND(L5&gt;=0,Assumptions!B16&gt;=0,Assumptions!B16&lt;=1),L5*Assumptions!B16,"invalid input"))</x:f>
        <x:v>incomplete</x:v>
      </x:c>
      <x:c r="M6" s="8" t="str">
        <x:f>IF(COUNT(M5,Assumptions!B16)&lt;&gt;2,"incomplete",IF(AND(M5&gt;=0,Assumptions!B16&gt;=0,Assumptions!B16&lt;=1),M5*Assumptions!B16,"invalid input"))</x:f>
        <x:v>incomplete</x:v>
      </x:c>
    </x:row>
    <x:row r="7">
      <x:c r="A7" t="inlineStr">
        <x:is>
          <x:t xml:space="preserve">→ Stage 3</x:t>
        </x:is>
      </x:c>
      <x:c r="B7" s="8" t="str">
        <x:f>IF(COUNT(B6,Assumptions!B17)&lt;&gt;2,"incomplete",IF(AND(B6&gt;=0,Assumptions!B17&gt;=0,Assumptions!B17&lt;=1),B6*Assumptions!B17,"invalid input"))</x:f>
        <x:v>incomplete</x:v>
      </x:c>
      <x:c r="C7" s="8" t="str">
        <x:f>IF(COUNT(C6,Assumptions!B17)&lt;&gt;2,"incomplete",IF(AND(C6&gt;=0,Assumptions!B17&gt;=0,Assumptions!B17&lt;=1),C6*Assumptions!B17,"invalid input"))</x:f>
        <x:v>incomplete</x:v>
      </x:c>
      <x:c r="D7" s="8" t="str">
        <x:f>IF(COUNT(D6,Assumptions!B17)&lt;&gt;2,"incomplete",IF(AND(D6&gt;=0,Assumptions!B17&gt;=0,Assumptions!B17&lt;=1),D6*Assumptions!B17,"invalid input"))</x:f>
        <x:v>incomplete</x:v>
      </x:c>
      <x:c r="E7" s="8" t="str">
        <x:f>IF(COUNT(E6,Assumptions!B17)&lt;&gt;2,"incomplete",IF(AND(E6&gt;=0,Assumptions!B17&gt;=0,Assumptions!B17&lt;=1),E6*Assumptions!B17,"invalid input"))</x:f>
        <x:v>incomplete</x:v>
      </x:c>
      <x:c r="F7" s="8" t="str">
        <x:f>IF(COUNT(F6,Assumptions!B17)&lt;&gt;2,"incomplete",IF(AND(F6&gt;=0,Assumptions!B17&gt;=0,Assumptions!B17&lt;=1),F6*Assumptions!B17,"invalid input"))</x:f>
        <x:v>incomplete</x:v>
      </x:c>
      <x:c r="G7" s="8" t="str">
        <x:f>IF(COUNT(G6,Assumptions!B17)&lt;&gt;2,"incomplete",IF(AND(G6&gt;=0,Assumptions!B17&gt;=0,Assumptions!B17&lt;=1),G6*Assumptions!B17,"invalid input"))</x:f>
        <x:v>incomplete</x:v>
      </x:c>
      <x:c r="H7" s="8" t="str">
        <x:f>IF(COUNT(H6,Assumptions!B17)&lt;&gt;2,"incomplete",IF(AND(H6&gt;=0,Assumptions!B17&gt;=0,Assumptions!B17&lt;=1),H6*Assumptions!B17,"invalid input"))</x:f>
        <x:v>incomplete</x:v>
      </x:c>
      <x:c r="I7" s="8" t="str">
        <x:f>IF(COUNT(I6,Assumptions!B17)&lt;&gt;2,"incomplete",IF(AND(I6&gt;=0,Assumptions!B17&gt;=0,Assumptions!B17&lt;=1),I6*Assumptions!B17,"invalid input"))</x:f>
        <x:v>incomplete</x:v>
      </x:c>
      <x:c r="J7" s="8" t="str">
        <x:f>IF(COUNT(J6,Assumptions!B17)&lt;&gt;2,"incomplete",IF(AND(J6&gt;=0,Assumptions!B17&gt;=0,Assumptions!B17&lt;=1),J6*Assumptions!B17,"invalid input"))</x:f>
        <x:v>incomplete</x:v>
      </x:c>
      <x:c r="K7" s="8" t="str">
        <x:f>IF(COUNT(K6,Assumptions!B17)&lt;&gt;2,"incomplete",IF(AND(K6&gt;=0,Assumptions!B17&gt;=0,Assumptions!B17&lt;=1),K6*Assumptions!B17,"invalid input"))</x:f>
        <x:v>incomplete</x:v>
      </x:c>
      <x:c r="L7" s="8" t="str">
        <x:f>IF(COUNT(L6,Assumptions!B17)&lt;&gt;2,"incomplete",IF(AND(L6&gt;=0,Assumptions!B17&gt;=0,Assumptions!B17&lt;=1),L6*Assumptions!B17,"invalid input"))</x:f>
        <x:v>incomplete</x:v>
      </x:c>
      <x:c r="M7" s="8" t="str">
        <x:f>IF(COUNT(M6,Assumptions!B17)&lt;&gt;2,"incomplete",IF(AND(M6&gt;=0,Assumptions!B17&gt;=0,Assumptions!B17&lt;=1),M6*Assumptions!B17,"invalid input"))</x:f>
        <x:v>incomplete</x:v>
      </x:c>
    </x:row>
    <x:row r="8">
      <x:c r="A8" t="inlineStr">
        <x:is>
          <x:t xml:space="preserve">→ Won (same month sketch)</x:t>
        </x:is>
      </x:c>
      <x:c r="B8" s="9" t="str">
        <x:f>IF(COUNT(B7,Assumptions!B18)&lt;&gt;2,"incomplete",IF(AND(B7&gt;=0,Assumptions!B18&gt;=0,Assumptions!B18&lt;=1),B7*Assumptions!B18,"invalid input"))</x:f>
        <x:v>incomplete</x:v>
      </x:c>
      <x:c r="C8" s="9" t="str">
        <x:f>IF(COUNT(C7,Assumptions!B18)&lt;&gt;2,"incomplete",IF(AND(C7&gt;=0,Assumptions!B18&gt;=0,Assumptions!B18&lt;=1),C7*Assumptions!B18,"invalid input"))</x:f>
        <x:v>incomplete</x:v>
      </x:c>
      <x:c r="D8" s="9" t="str">
        <x:f>IF(COUNT(D7,Assumptions!B18)&lt;&gt;2,"incomplete",IF(AND(D7&gt;=0,Assumptions!B18&gt;=0,Assumptions!B18&lt;=1),D7*Assumptions!B18,"invalid input"))</x:f>
        <x:v>incomplete</x:v>
      </x:c>
      <x:c r="E8" s="9" t="str">
        <x:f>IF(COUNT(E7,Assumptions!B18)&lt;&gt;2,"incomplete",IF(AND(E7&gt;=0,Assumptions!B18&gt;=0,Assumptions!B18&lt;=1),E7*Assumptions!B18,"invalid input"))</x:f>
        <x:v>incomplete</x:v>
      </x:c>
      <x:c r="F8" s="9" t="str">
        <x:f>IF(COUNT(F7,Assumptions!B18)&lt;&gt;2,"incomplete",IF(AND(F7&gt;=0,Assumptions!B18&gt;=0,Assumptions!B18&lt;=1),F7*Assumptions!B18,"invalid input"))</x:f>
        <x:v>incomplete</x:v>
      </x:c>
      <x:c r="G8" s="9" t="str">
        <x:f>IF(COUNT(G7,Assumptions!B18)&lt;&gt;2,"incomplete",IF(AND(G7&gt;=0,Assumptions!B18&gt;=0,Assumptions!B18&lt;=1),G7*Assumptions!B18,"invalid input"))</x:f>
        <x:v>incomplete</x:v>
      </x:c>
      <x:c r="H8" s="9" t="str">
        <x:f>IF(COUNT(H7,Assumptions!B18)&lt;&gt;2,"incomplete",IF(AND(H7&gt;=0,Assumptions!B18&gt;=0,Assumptions!B18&lt;=1),H7*Assumptions!B18,"invalid input"))</x:f>
        <x:v>incomplete</x:v>
      </x:c>
      <x:c r="I8" s="9" t="str">
        <x:f>IF(COUNT(I7,Assumptions!B18)&lt;&gt;2,"incomplete",IF(AND(I7&gt;=0,Assumptions!B18&gt;=0,Assumptions!B18&lt;=1),I7*Assumptions!B18,"invalid input"))</x:f>
        <x:v>incomplete</x:v>
      </x:c>
      <x:c r="J8" s="9" t="str">
        <x:f>IF(COUNT(J7,Assumptions!B18)&lt;&gt;2,"incomplete",IF(AND(J7&gt;=0,Assumptions!B18&gt;=0,Assumptions!B18&lt;=1),J7*Assumptions!B18,"invalid input"))</x:f>
        <x:v>incomplete</x:v>
      </x:c>
      <x:c r="K8" s="9" t="str">
        <x:f>IF(COUNT(K7,Assumptions!B18)&lt;&gt;2,"incomplete",IF(AND(K7&gt;=0,Assumptions!B18&gt;=0,Assumptions!B18&lt;=1),K7*Assumptions!B18,"invalid input"))</x:f>
        <x:v>incomplete</x:v>
      </x:c>
      <x:c r="L8" s="9" t="str">
        <x:f>IF(COUNT(L7,Assumptions!B18)&lt;&gt;2,"incomplete",IF(AND(L7&gt;=0,Assumptions!B18&gt;=0,Assumptions!B18&lt;=1),L7*Assumptions!B18,"invalid input"))</x:f>
        <x:v>incomplete</x:v>
      </x:c>
      <x:c r="M8" s="9" t="str">
        <x:f>IF(COUNT(M7,Assumptions!B18)&lt;&gt;2,"incomplete",IF(AND(M7&gt;=0,Assumptions!B18&gt;=0,Assumptions!B18&lt;=1),M7*Assumptions!B18,"invalid input"))</x:f>
        <x:v>incomplete</x:v>
      </x:c>
    </x:row>
    <x:row r="10">
      <x:c r="A10" t="inlineStr">
        <x:is>
          <x:t xml:space="preserve">Won × segment A ACV (formula)</x:t>
        </x:is>
      </x:c>
      <x:c r="B10" s="10" t="str">
        <x:f>IF(COUNT(B8,Assumptions!B11)&lt;&gt;2,"incomplete",IF(AND(B8&gt;=0,Assumptions!B11&gt;=0),B8*Assumptions!B11,"invalid input"))</x:f>
        <x:v>incomplete</x:v>
      </x:c>
      <x:c r="C10" s="10" t="str">
        <x:f>IF(COUNT(C8,Assumptions!B11)&lt;&gt;2,"incomplete",IF(AND(C8&gt;=0,Assumptions!B11&gt;=0),C8*Assumptions!B11,"invalid input"))</x:f>
        <x:v>incomplete</x:v>
      </x:c>
      <x:c r="D10" s="10" t="str">
        <x:f>IF(COUNT(D8,Assumptions!B11)&lt;&gt;2,"incomplete",IF(AND(D8&gt;=0,Assumptions!B11&gt;=0),D8*Assumptions!B11,"invalid input"))</x:f>
        <x:v>incomplete</x:v>
      </x:c>
      <x:c r="E10" s="10" t="str">
        <x:f>IF(COUNT(E8,Assumptions!B11)&lt;&gt;2,"incomplete",IF(AND(E8&gt;=0,Assumptions!B11&gt;=0),E8*Assumptions!B11,"invalid input"))</x:f>
        <x:v>incomplete</x:v>
      </x:c>
      <x:c r="F10" s="10" t="str">
        <x:f>IF(COUNT(F8,Assumptions!B11)&lt;&gt;2,"incomplete",IF(AND(F8&gt;=0,Assumptions!B11&gt;=0),F8*Assumptions!B11,"invalid input"))</x:f>
        <x:v>incomplete</x:v>
      </x:c>
      <x:c r="G10" s="10" t="str">
        <x:f>IF(COUNT(G8,Assumptions!B11)&lt;&gt;2,"incomplete",IF(AND(G8&gt;=0,Assumptions!B11&gt;=0),G8*Assumptions!B11,"invalid input"))</x:f>
        <x:v>incomplete</x:v>
      </x:c>
      <x:c r="H10" s="10" t="str">
        <x:f>IF(COUNT(H8,Assumptions!B11)&lt;&gt;2,"incomplete",IF(AND(H8&gt;=0,Assumptions!B11&gt;=0),H8*Assumptions!B11,"invalid input"))</x:f>
        <x:v>incomplete</x:v>
      </x:c>
      <x:c r="I10" s="10" t="str">
        <x:f>IF(COUNT(I8,Assumptions!B11)&lt;&gt;2,"incomplete",IF(AND(I8&gt;=0,Assumptions!B11&gt;=0),I8*Assumptions!B11,"invalid input"))</x:f>
        <x:v>incomplete</x:v>
      </x:c>
      <x:c r="J10" s="10" t="str">
        <x:f>IF(COUNT(J8,Assumptions!B11)&lt;&gt;2,"incomplete",IF(AND(J8&gt;=0,Assumptions!B11&gt;=0),J8*Assumptions!B11,"invalid input"))</x:f>
        <x:v>incomplete</x:v>
      </x:c>
      <x:c r="K10" s="10" t="str">
        <x:f>IF(COUNT(K8,Assumptions!B11)&lt;&gt;2,"incomplete",IF(AND(K8&gt;=0,Assumptions!B11&gt;=0),K8*Assumptions!B11,"invalid input"))</x:f>
        <x:v>incomplete</x:v>
      </x:c>
      <x:c r="L10" s="10" t="str">
        <x:f>IF(COUNT(L8,Assumptions!B11)&lt;&gt;2,"incomplete",IF(AND(L8&gt;=0,Assumptions!B11&gt;=0),L8*Assumptions!B11,"invalid input"))</x:f>
        <x:v>incomplete</x:v>
      </x:c>
      <x:c r="M10" s="10" t="str">
        <x:f>IF(COUNT(M8,Assumptions!B11)&lt;&gt;2,"incomplete",IF(AND(M8&gt;=0,Assumptions!B11&gt;=0),M8*Assumptions!B11,"invalid input"))</x:f>
        <x:v>incomplete</x:v>
      </x:c>
    </x:row>
    <x:row r="12">
      <x:c r="A12" t="str">
        <x:v>Map demand SQOs to the matching entry stage. Compare wins with roster capacity separately; apply sales-cycle timing.</x:v>
      </x:c>
    </x:row>
    <x:row r="13" ht="36" customHeight="1">
      <x:c r="A13" s="3" t="n"/>
    </x:row>
  </x:sheetData>
  <x:mergeCells>
    <x:mergeCell ref="A12:N12"/>
    <x:mergeCell ref="A13:N13"/>
    <x:mergeCell ref="A2:N2"/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36" customWidth="1"/>
    <x:col min="2" max="2" width="16" customWidth="1"/>
    <x:col min="3" max="3" width="16" customWidth="1"/>
    <x:col min="4" max="4" width="40" customWidth="1"/>
    <x:col min="5" max="5" width="12" customWidth="1"/>
  </x:cols>
  <x:sheetData>
    <x:row r="1" ht="28" customHeight="1">
      <x:c r="A1" s="1" t="inlineStr">
        <x:is>
          <x:t xml:space="preserve">Retention is a parent of the number. New logo cannot silently cover a leak.</x:t>
        </x:is>
      </x:c>
    </x:row>
    <x:row r="3" ht="22" customHeight="1">
      <x:c r="A3" s="4" t="inlineStr">
        <x:is>
          <x:t xml:space="preserve">Item</x:t>
        </x:is>
      </x:c>
      <x:c r="B3" s="4" t="inlineStr">
        <x:is>
          <x:t xml:space="preserve">Segment A</x:t>
        </x:is>
      </x:c>
      <x:c r="C3" s="4" t="inlineStr">
        <x:is>
          <x:t xml:space="preserve">Segment B</x:t>
        </x:is>
      </x:c>
      <x:c r="D3" s="4" t="inlineStr">
        <x:is>
          <x:t xml:space="preserve">Formula / note</x:t>
        </x:is>
      </x:c>
      <x:c r="E3" s="4" t="inlineStr">
        <x:is>
          <x:t xml:space="preserve"/>
        </x:is>
      </x:c>
    </x:row>
    <x:row r="4">
      <x:c r="A4" s="5" t="inlineStr">
        <x:is>
          <x:t xml:space="preserve">Starting customers</x:t>
        </x:is>
      </x:c>
      <x:c r="B4" t="str">
        <x:f>IF(ISNUMBER(Assumptions!B28),IF(Assumptions!B28&gt;=0,Assumptions!B28,"invalid input"),"incomplete")</x:f>
        <x:v>incomplete</x:v>
      </x:c>
      <x:c r="C4" t="str">
        <x:f>IF(ISNUMBER(Assumptions!C28),IF(Assumptions!C28&gt;=0,Assumptions!C28,"invalid input"),"incomplete")</x:f>
        <x:v>incomplete</x:v>
      </x:c>
    </x:row>
    <x:row r="5">
      <x:c r="A5" s="5" t="inlineStr">
        <x:is>
          <x:t xml:space="preserve">Up for renewal this year (input if not all)</x:t>
        </x:is>
      </x:c>
      <x:c r="B5" s="3" t="n"/>
      <x:c r="C5" s="3" t="n"/>
    </x:row>
    <x:row r="6">
      <x:c r="A6" s="5" t="inlineStr">
        <x:is>
          <x:t xml:space="preserve">Expected retained logos</x:t>
        </x:is>
      </x:c>
      <x:c r="B6" t="str">
        <x:f>IF(COUNT(B5,Assumptions!B26)&lt;&gt;2,"incomplete",IF(AND(B5&gt;=0,Assumptions!B26&gt;=0,Assumptions!B26&lt;=1),B5*(1-Assumptions!B26),"invalid input"))</x:f>
        <x:v>incomplete</x:v>
      </x:c>
      <x:c r="C6" t="str">
        <x:f>IF(COUNT(C5,Assumptions!C26)&lt;&gt;2,"incomplete",IF(AND(C5&gt;=0,Assumptions!C26&gt;=0,Assumptions!C26&lt;=1),C5*(1-Assumptions!C26),"invalid input"))</x:f>
        <x:v>incomplete</x:v>
      </x:c>
    </x:row>
    <x:row r="7">
      <x:c r="A7" s="5" t="str">
        <x:v>Retention proxy</x:v>
      </x:c>
      <x:c r="B7" s="12" t="str">
        <x:f>Assumptions!B30</x:f>
        <x:v>incomplete</x:v>
      </x:c>
      <x:c r="C7" s="12" t="str">
        <x:f>Assumptions!C30</x:f>
        <x:v>incomplete</x:v>
      </x:c>
    </x:row>
    <x:row r="9">
      <x:c r="A9" t="str">
        <x:v>If the proxy is below 100%, review revenue churn and contraction before forecasting.</x:v>
      </x:c>
    </x:row>
    <x:row r="10" ht="36" customHeight="1">
      <x:c r="A10" s="3" t="n"/>
    </x:row>
  </x:sheetData>
  <x:mergeCells>
    <x:mergeCell ref="A10:C10"/>
    <x:mergeCell ref="A9:C9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00" customWidth="1"/>
  </x:cols>
  <x:sheetData>
    <x:row r="1" ht="28" customHeight="1">
      <x:c r="A1" s="1" t="inlineStr">
        <x:is>
          <x:t xml:space="preserve">Invented — not your quota. Clear Assumptions before this file is a board artifact.</x:t>
        </x:is>
      </x:c>
    </x:row>
    <x:row r="3" ht="40" customHeight="1">
      <x:c r="A3" s="5" t="inlineStr">
        <x:is>
          <x:t xml:space="preserve">Story</x:t>
        </x:is>
      </x:c>
      <x:c r="B3" s="11" t="inlineStr">
        <x:is>
          <x:t xml:space="preserve">4 MM AEs (one ramping), 2 enterprise (one starts month 7). Attainment from last year 0.75 / 0.70. 40 customers already on the book.</x:t>
        </x:is>
      </x:c>
    </x:row>
    <x:row r="4" ht="40" customHeight="1">
      <x:c r="A4" s="5" t="inlineStr">
        <x:is>
          <x:t xml:space="preserve">Constraint</x:t>
        </x:is>
      </x:c>
      <x:c r="B4" s="11" t="inlineStr">
        <x:is>
          <x:t xml:space="preserve">Demand creates ~15 SQO/month; capacity works ~12. Do not hire AE five.</x:t>
        </x:is>
      </x:c>
    </x:row>
    <x:row r="5" ht="40" customHeight="1">
      <x:c r="A5" s="5" t="inlineStr">
        <x:is>
          <x:t xml:space="preserve">Do not copy</x:t>
        </x:is>
      </x:c>
      <x:c r="B5" s="11" t="inlineStr">
        <x:is>
          <x:t xml:space="preserve">Any $ quota, 78% attainment, or 5-year logo table you saw in a sample model.</x:t>
        </x:is>
      </x:c>
    </x:row>
  </x:sheetData>
  <x:mergeCells>
    <x:mergeCell ref="A1:B1"/>
  </x:mergeCells>
  <x:pageMargins left="0.7" right="0.7" top="0.75" bottom="0.75" header="0.3" footer="0.3"/>
</x:worksheet>
</file>