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6496d68dd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plan" sheetId="1" r:id="R4822cec31c4f431c"/>
    <x:sheet xmlns:r="http://schemas.openxmlformats.org/officeDocument/2006/relationships" name="Teaching fill" sheetId="2" r:id="R8c33f52b4698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7">
    <x:font>
      <x:sz val="11"/>
      <x:color theme="1"/>
      <x:name val="Calibri"/>
    </x:font>
    <x:font>
      <x:b/>
      <x:sz val="16"/>
      <x:color rgb="FF1B3A4B"/>
      <x:name val="Calibri"/>
    </x:font>
    <x:font>
      <x:i/>
      <x:sz val="10"/>
      <x:color rgb="FF5C6B73"/>
      <x:name val="Calibri"/>
    </x:font>
    <x:font>
      <x:sz val="11"/>
      <x:color rgb="FF1A1A1A"/>
      <x:name val="Calibri"/>
    </x:font>
    <x:font>
      <x:b/>
      <x:sz val="11"/>
      <x:color rgb="FFFFFFFF"/>
      <x:name val="Calibri"/>
    </x:font>
    <x:font>
      <x:b/>
      <x:sz val="11"/>
      <x:color rgb="FF1A1A1A"/>
      <x:name val="Calibri"/>
    </x:font>
    <x:font>
      <x:b/>
      <x:sz val="12"/>
      <x:color rgb="FF1B3A4B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7F4EF"/>
      </x:patternFill>
    </x:fill>
    <x:fill>
      <x:patternFill patternType="solid">
        <x:fgColor rgb="FFFFF3C4"/>
      </x:patternFill>
    </x:fill>
    <x:fill>
      <x:patternFill patternType="solid">
        <x:fgColor rgb="FF1B3A4B"/>
      </x:patternFill>
    </x:fill>
    <x:fill>
      <x:patternFill patternType="solid">
        <x:fgColor rgb="FFD9D0C3"/>
      </x:patternFill>
    </x:fill>
    <x:fill>
      <x:patternFill patternType="solid">
        <x:fgColor rgb="FFE8F0E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4" fillId="4" borderId="0" xfId="0" applyAlignment="1">
      <x:alignment vertical="center" wrapText="1"/>
    </x:xf>
    <x:xf numFmtId="0" fontId="5" fillId="0" borderId="0" xfId="0"/>
    <x:xf numFmtId="0" fontId="3" fillId="0" borderId="0" xfId="0"/>
    <x:xf numFmtId="0" fontId="2" fillId="0" borderId="0" xfId="0"/>
    <x:xf numFmtId="164" fontId="0" fillId="0" borderId="0" xfId="0"/>
    <x:xf numFmtId="164" fontId="5" fillId="0" borderId="0" xfId="0"/>
    <x:xf numFmtId="0" fontId="6" fillId="0" borderId="0" xfId="0"/>
    <x:xf numFmtId="164" fontId="6" fillId="5" borderId="0" xfId="0"/>
    <x:xf numFmtId="1" fontId="0" fillId="0" borderId="0" xfId="0"/>
    <x:xf numFmtId="0" fontId="0" fillId="6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98eb9c88b4995" /><Relationship Type="http://schemas.openxmlformats.org/officeDocument/2006/relationships/theme" Target="/xl/theme/theme1.xml" Id="R32cc5a8129ef44ed" /><Relationship Type="http://schemas.openxmlformats.org/officeDocument/2006/relationships/sharedStrings" Target="/xl/sharedStrings.xml" Id="Ra4c259f176b341e2" /><Relationship Type="http://schemas.openxmlformats.org/officeDocument/2006/relationships/worksheet" Target="/xl/worksheets/sheet1.xml" Id="R4822cec31c4f431c" /><Relationship Type="http://schemas.openxmlformats.org/officeDocument/2006/relationships/worksheet" Target="/xl/worksheets/sheet2.xml" Id="R8c33f52b469842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8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 ht="28" customHeight="1">
      <x:c r="A1" s="1" t="inlineStr">
        <x:is>
          <x:t xml:space="preserve">B2B Playbook · Demand plan</x:t>
        </x:is>
      </x:c>
    </x:row>
    <x:row r="2" ht="36" customHeight="1">
      <x:c r="A2" s="2" t="str">
        <x:v>Two-step chain: volume × intermediate yield × intermediate-to-SQO rate. Combine any intervening stage rates. Zero is a valid input; clear an unknown input. Define SQO consistently across channels. Copyright © 2026 Ivan Xu.</x:v>
      </x:c>
    </x:row>
    <x:row r="3">
      <x:c r="A3" t="str">
        <x:v>Output (all channels)</x:v>
      </x:c>
      <x:c r="B3" s="3" t="str">
        <x:v>SQO</x:v>
      </x:c>
      <x:c r="C3" t="inlineStr">
        <x:is>
          <x:t xml:space="preserve">Assumption freeze date</x:t>
        </x:is>
      </x:c>
      <x:c r="D3" s="3" t="n"/>
      <x:c r="E3" t="inlineStr">
        <x:is>
          <x:t xml:space="preserve">Owner</x:t>
        </x:is>
      </x:c>
      <x:c r="F3" s="3" t="n"/>
    </x:row>
    <x:row r="5" ht="22" customHeight="1">
      <x:c r="A5" s="4" t="inlineStr">
        <x:is>
          <x:t xml:space="preserve">Channel</x:t>
        </x:is>
      </x:c>
      <x:c r="B5" s="4" t="inlineStr">
        <x:is>
          <x:t xml:space="preserve">Line</x:t>
        </x:is>
      </x:c>
      <x:c r="C5" s="4" t="inlineStr">
        <x:is>
          <x:t xml:space="preserve">Unit / rate</x:t>
        </x:is>
      </x:c>
      <x:c r="D5" s="4" t="inlineStr">
        <x:is>
          <x:t xml:space="preserve">M1</x:t>
        </x:is>
      </x:c>
      <x:c r="E5" s="4" t="inlineStr">
        <x:is>
          <x:t xml:space="preserve">M2</x:t>
        </x:is>
      </x:c>
      <x:c r="F5" s="4" t="inlineStr">
        <x:is>
          <x:t xml:space="preserve">M3</x:t>
        </x:is>
      </x:c>
      <x:c r="G5" s="4" t="inlineStr">
        <x:is>
          <x:t xml:space="preserve">M4</x:t>
        </x:is>
      </x:c>
      <x:c r="H5" s="4" t="inlineStr">
        <x:is>
          <x:t xml:space="preserve">M5</x:t>
        </x:is>
      </x:c>
      <x:c r="I5" s="4" t="inlineStr">
        <x:is>
          <x:t xml:space="preserve">M6</x:t>
        </x:is>
      </x:c>
      <x:c r="J5" s="4" t="inlineStr">
        <x:is>
          <x:t xml:space="preserve">M7</x:t>
        </x:is>
      </x:c>
      <x:c r="K5" s="4" t="inlineStr">
        <x:is>
          <x:t xml:space="preserve">M8</x:t>
        </x:is>
      </x:c>
      <x:c r="L5" s="4" t="inlineStr">
        <x:is>
          <x:t xml:space="preserve">M9</x:t>
        </x:is>
      </x:c>
      <x:c r="M5" s="4" t="inlineStr">
        <x:is>
          <x:t xml:space="preserve">M10</x:t>
        </x:is>
      </x:c>
      <x:c r="N5" s="4" t="inlineStr">
        <x:is>
          <x:t xml:space="preserve">M11</x:t>
        </x:is>
      </x:c>
      <x:c r="O5" s="4" t="inlineStr">
        <x:is>
          <x:t xml:space="preserve">M12</x:t>
        </x:is>
      </x:c>
    </x:row>
    <x:row r="6">
      <x:c r="A6" s="5" t="inlineStr">
        <x:is>
          <x:t xml:space="preserve">Paid search</x:t>
        </x:is>
      </x:c>
      <x:c r="B6" s="6" t="inlineStr">
        <x:is>
          <x:t xml:space="preserve">Volume (input)</x:t>
        </x:is>
      </x:c>
      <x:c r="C6" s="7" t="inlineStr">
        <x:is>
          <x:t xml:space="preserve">Clicks</x:t>
        </x:is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</x:row>
    <x:row r="7">
      <x:c r="A7" t="inlineStr">
        <x:is>
          <x:t xml:space="preserve">Paid search</x:t>
        </x:is>
      </x:c>
      <x:c r="B7" t="inlineStr">
        <x:is>
          <x:t xml:space="preserve">Rate 1 (input)</x:t>
        </x:is>
      </x:c>
      <x:c r="C7" t="inlineStr">
        <x:is>
          <x:t xml:space="preserve">Click → MQL</x:t>
        </x:is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</x:row>
    <x:row r="8">
      <x:c r="A8" t="inlineStr">
        <x:is>
          <x:t xml:space="preserve">Paid search</x:t>
        </x:is>
      </x:c>
      <x:c r="B8" t="inlineStr">
        <x:is>
          <x:t xml:space="preserve">Mid-count (formula)</x:t>
        </x:is>
      </x:c>
      <x:c r="C8" t="inlineStr">
        <x:is>
          <x:t xml:space="preserve">Volume × rate 1</x:t>
        </x:is>
      </x:c>
      <x:c r="D8" s="8" t="n">
        <x:f>IF(COUNT(D6,D7)&lt;&gt;2,"incomplete",IF(AND(D6&gt;=0,D7&gt;=0,D7&lt;=1),D6*D7,"invalid input"))</x:f>
        <x:v>0</x:v>
      </x:c>
      <x:c r="E8" s="8" t="n">
        <x:f>IF(COUNT(E6,E7)&lt;&gt;2,"incomplete",IF(AND(E6&gt;=0,E7&gt;=0,E7&lt;=1),E6*E7,"invalid input"))</x:f>
        <x:v>0</x:v>
      </x:c>
      <x:c r="F8" s="8" t="n">
        <x:f>IF(COUNT(F6,F7)&lt;&gt;2,"incomplete",IF(AND(F6&gt;=0,F7&gt;=0,F7&lt;=1),F6*F7,"invalid input"))</x:f>
        <x:v>0</x:v>
      </x:c>
      <x:c r="G8" s="8" t="n">
        <x:f>IF(COUNT(G6,G7)&lt;&gt;2,"incomplete",IF(AND(G6&gt;=0,G7&gt;=0,G7&lt;=1),G6*G7,"invalid input"))</x:f>
        <x:v>0</x:v>
      </x:c>
      <x:c r="H8" s="8" t="n">
        <x:f>IF(COUNT(H6,H7)&lt;&gt;2,"incomplete",IF(AND(H6&gt;=0,H7&gt;=0,H7&lt;=1),H6*H7,"invalid input"))</x:f>
        <x:v>0</x:v>
      </x:c>
      <x:c r="I8" s="8" t="n">
        <x:f>IF(COUNT(I6,I7)&lt;&gt;2,"incomplete",IF(AND(I6&gt;=0,I7&gt;=0,I7&lt;=1),I6*I7,"invalid input"))</x:f>
        <x:v>0</x:v>
      </x:c>
      <x:c r="J8" s="8" t="n">
        <x:f>IF(COUNT(J6,J7)&lt;&gt;2,"incomplete",IF(AND(J6&gt;=0,J7&gt;=0,J7&lt;=1),J6*J7,"invalid input"))</x:f>
        <x:v>0</x:v>
      </x:c>
      <x:c r="K8" s="8" t="n">
        <x:f>IF(COUNT(K6,K7)&lt;&gt;2,"incomplete",IF(AND(K6&gt;=0,K7&gt;=0,K7&lt;=1),K6*K7,"invalid input"))</x:f>
        <x:v>0</x:v>
      </x:c>
      <x:c r="L8" s="8" t="n">
        <x:f>IF(COUNT(L6,L7)&lt;&gt;2,"incomplete",IF(AND(L6&gt;=0,L7&gt;=0,L7&lt;=1),L6*L7,"invalid input"))</x:f>
        <x:v>0</x:v>
      </x:c>
      <x:c r="M8" s="8" t="n">
        <x:f>IF(COUNT(M6,M7)&lt;&gt;2,"incomplete",IF(AND(M6&gt;=0,M7&gt;=0,M7&lt;=1),M6*M7,"invalid input"))</x:f>
        <x:v>0</x:v>
      </x:c>
      <x:c r="N8" s="8" t="n">
        <x:f>IF(COUNT(N6,N7)&lt;&gt;2,"incomplete",IF(AND(N6&gt;=0,N7&gt;=0,N7&lt;=1),N6*N7,"invalid input"))</x:f>
        <x:v>0</x:v>
      </x:c>
      <x:c r="O8" s="8" t="n">
        <x:f>IF(COUNT(O6,O7)&lt;&gt;2,"incomplete",IF(AND(O6&gt;=0,O7&gt;=0,O7&lt;=1),O6*O7,"invalid input"))</x:f>
        <x:v>0</x:v>
      </x:c>
    </x:row>
    <x:row r="9">
      <x:c r="A9" t="inlineStr">
        <x:is>
          <x:t xml:space="preserve">Paid search</x:t>
        </x:is>
      </x:c>
      <x:c r="B9" t="inlineStr">
        <x:is>
          <x:t xml:space="preserve">Rate 2 (input)</x:t>
        </x:is>
      </x:c>
      <x:c r="C9" t="str">
        <x:v>MQL → SQO (combined)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</x:row>
    <x:row r="10">
      <x:c r="A10" t="inlineStr">
        <x:is>
          <x:t xml:space="preserve">Paid search</x:t>
        </x:is>
      </x:c>
      <x:c r="B10" t="inlineStr">
        <x:is>
          <x:t xml:space="preserve">SQO (formula)</x:t>
        </x:is>
      </x:c>
      <x:c r="C10" t="str">
        <x:v>Intermediate count × SQO rate</x:v>
      </x:c>
      <x:c r="D10" s="9" t="n">
        <x:f>IF(COUNT(D8,D9)&lt;&gt;2,"incomplete",IF(AND(D8&gt;=0,D9&gt;=0,D9&lt;=1),D8*D9,"invalid input"))</x:f>
        <x:v>0</x:v>
      </x:c>
      <x:c r="E10" s="9" t="n">
        <x:f>IF(COUNT(E8,E9)&lt;&gt;2,"incomplete",IF(AND(E8&gt;=0,E9&gt;=0,E9&lt;=1),E8*E9,"invalid input"))</x:f>
        <x:v>0</x:v>
      </x:c>
      <x:c r="F10" s="9" t="n">
        <x:f>IF(COUNT(F8,F9)&lt;&gt;2,"incomplete",IF(AND(F8&gt;=0,F9&gt;=0,F9&lt;=1),F8*F9,"invalid input"))</x:f>
        <x:v>0</x:v>
      </x:c>
      <x:c r="G10" s="9" t="n">
        <x:f>IF(COUNT(G8,G9)&lt;&gt;2,"incomplete",IF(AND(G8&gt;=0,G9&gt;=0,G9&lt;=1),G8*G9,"invalid input"))</x:f>
        <x:v>0</x:v>
      </x:c>
      <x:c r="H10" s="9" t="n">
        <x:f>IF(COUNT(H8,H9)&lt;&gt;2,"incomplete",IF(AND(H8&gt;=0,H9&gt;=0,H9&lt;=1),H8*H9,"invalid input"))</x:f>
        <x:v>0</x:v>
      </x:c>
      <x:c r="I10" s="9" t="n">
        <x:f>IF(COUNT(I8,I9)&lt;&gt;2,"incomplete",IF(AND(I8&gt;=0,I9&gt;=0,I9&lt;=1),I8*I9,"invalid input"))</x:f>
        <x:v>0</x:v>
      </x:c>
      <x:c r="J10" s="9" t="n">
        <x:f>IF(COUNT(J8,J9)&lt;&gt;2,"incomplete",IF(AND(J8&gt;=0,J9&gt;=0,J9&lt;=1),J8*J9,"invalid input"))</x:f>
        <x:v>0</x:v>
      </x:c>
      <x:c r="K10" s="9" t="n">
        <x:f>IF(COUNT(K8,K9)&lt;&gt;2,"incomplete",IF(AND(K8&gt;=0,K9&gt;=0,K9&lt;=1),K8*K9,"invalid input"))</x:f>
        <x:v>0</x:v>
      </x:c>
      <x:c r="L10" s="9" t="n">
        <x:f>IF(COUNT(L8,L9)&lt;&gt;2,"incomplete",IF(AND(L8&gt;=0,L9&gt;=0,L9&lt;=1),L8*L9,"invalid input"))</x:f>
        <x:v>0</x:v>
      </x:c>
      <x:c r="M10" s="9" t="n">
        <x:f>IF(COUNT(M8,M9)&lt;&gt;2,"incomplete",IF(AND(M8&gt;=0,M9&gt;=0,M9&lt;=1),M8*M9,"invalid input"))</x:f>
        <x:v>0</x:v>
      </x:c>
      <x:c r="N10" s="9" t="n">
        <x:f>IF(COUNT(N8,N9)&lt;&gt;2,"incomplete",IF(AND(N8&gt;=0,N9&gt;=0,N9&lt;=1),N8*N9,"invalid input"))</x:f>
        <x:v>0</x:v>
      </x:c>
      <x:c r="O10" s="9" t="n">
        <x:f>IF(COUNT(O8,O9)&lt;&gt;2,"incomplete",IF(AND(O8&gt;=0,O9&gt;=0,O9&lt;=1),O8*O9,"invalid input"))</x:f>
        <x:v>0</x:v>
      </x:c>
    </x:row>
    <x:row r="11">
      <x:c r="A11" s="5" t="inlineStr">
        <x:is>
          <x:t xml:space="preserve">Organic search</x:t>
        </x:is>
      </x:c>
      <x:c r="B11" s="6" t="inlineStr">
        <x:is>
          <x:t xml:space="preserve">Volume (input)</x:t>
        </x:is>
      </x:c>
      <x:c r="C11" s="7" t="inlineStr">
        <x:is>
          <x:t xml:space="preserve">Pageviews</x:t>
        </x:is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</x:row>
    <x:row r="12">
      <x:c r="A12" t="inlineStr">
        <x:is>
          <x:t xml:space="preserve">Organic search</x:t>
        </x:is>
      </x:c>
      <x:c r="B12" t="inlineStr">
        <x:is>
          <x:t xml:space="preserve">Rate 1 (input)</x:t>
        </x:is>
      </x:c>
      <x:c r="C12" t="inlineStr">
        <x:is>
          <x:t xml:space="preserve">View → MQL</x:t>
        </x:is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</x:row>
    <x:row r="13">
      <x:c r="A13" t="inlineStr">
        <x:is>
          <x:t xml:space="preserve">Organic search</x:t>
        </x:is>
      </x:c>
      <x:c r="B13" t="inlineStr">
        <x:is>
          <x:t xml:space="preserve">Mid-count (formula)</x:t>
        </x:is>
      </x:c>
      <x:c r="C13" t="inlineStr">
        <x:is>
          <x:t xml:space="preserve">Volume × rate 1</x:t>
        </x:is>
      </x:c>
      <x:c r="D13" s="8" t="n">
        <x:f>IF(COUNT(D11,D12)&lt;&gt;2,"incomplete",IF(AND(D11&gt;=0,D12&gt;=0,D12&lt;=1),D11*D12,"invalid input"))</x:f>
        <x:v>0</x:v>
      </x:c>
      <x:c r="E13" s="8" t="n">
        <x:f>IF(COUNT(E11,E12)&lt;&gt;2,"incomplete",IF(AND(E11&gt;=0,E12&gt;=0,E12&lt;=1),E11*E12,"invalid input"))</x:f>
        <x:v>0</x:v>
      </x:c>
      <x:c r="F13" s="8" t="n">
        <x:f>IF(COUNT(F11,F12)&lt;&gt;2,"incomplete",IF(AND(F11&gt;=0,F12&gt;=0,F12&lt;=1),F11*F12,"invalid input"))</x:f>
        <x:v>0</x:v>
      </x:c>
      <x:c r="G13" s="8" t="n">
        <x:f>IF(COUNT(G11,G12)&lt;&gt;2,"incomplete",IF(AND(G11&gt;=0,G12&gt;=0,G12&lt;=1),G11*G12,"invalid input"))</x:f>
        <x:v>0</x:v>
      </x:c>
      <x:c r="H13" s="8" t="n">
        <x:f>IF(COUNT(H11,H12)&lt;&gt;2,"incomplete",IF(AND(H11&gt;=0,H12&gt;=0,H12&lt;=1),H11*H12,"invalid input"))</x:f>
        <x:v>0</x:v>
      </x:c>
      <x:c r="I13" s="8" t="n">
        <x:f>IF(COUNT(I11,I12)&lt;&gt;2,"incomplete",IF(AND(I11&gt;=0,I12&gt;=0,I12&lt;=1),I11*I12,"invalid input"))</x:f>
        <x:v>0</x:v>
      </x:c>
      <x:c r="J13" s="8" t="n">
        <x:f>IF(COUNT(J11,J12)&lt;&gt;2,"incomplete",IF(AND(J11&gt;=0,J12&gt;=0,J12&lt;=1),J11*J12,"invalid input"))</x:f>
        <x:v>0</x:v>
      </x:c>
      <x:c r="K13" s="8" t="n">
        <x:f>IF(COUNT(K11,K12)&lt;&gt;2,"incomplete",IF(AND(K11&gt;=0,K12&gt;=0,K12&lt;=1),K11*K12,"invalid input"))</x:f>
        <x:v>0</x:v>
      </x:c>
      <x:c r="L13" s="8" t="n">
        <x:f>IF(COUNT(L11,L12)&lt;&gt;2,"incomplete",IF(AND(L11&gt;=0,L12&gt;=0,L12&lt;=1),L11*L12,"invalid input"))</x:f>
        <x:v>0</x:v>
      </x:c>
      <x:c r="M13" s="8" t="n">
        <x:f>IF(COUNT(M11,M12)&lt;&gt;2,"incomplete",IF(AND(M11&gt;=0,M12&gt;=0,M12&lt;=1),M11*M12,"invalid input"))</x:f>
        <x:v>0</x:v>
      </x:c>
      <x:c r="N13" s="8" t="n">
        <x:f>IF(COUNT(N11,N12)&lt;&gt;2,"incomplete",IF(AND(N11&gt;=0,N12&gt;=0,N12&lt;=1),N11*N12,"invalid input"))</x:f>
        <x:v>0</x:v>
      </x:c>
      <x:c r="O13" s="8" t="n">
        <x:f>IF(COUNT(O11,O12)&lt;&gt;2,"incomplete",IF(AND(O11&gt;=0,O12&gt;=0,O12&lt;=1),O11*O12,"invalid input"))</x:f>
        <x:v>0</x:v>
      </x:c>
    </x:row>
    <x:row r="14">
      <x:c r="A14" t="inlineStr">
        <x:is>
          <x:t xml:space="preserve">Organic search</x:t>
        </x:is>
      </x:c>
      <x:c r="B14" t="inlineStr">
        <x:is>
          <x:t xml:space="preserve">Rate 2 (input)</x:t>
        </x:is>
      </x:c>
      <x:c r="C14" t="str">
        <x:v>MQL → SQO (combined)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</x:row>
    <x:row r="15">
      <x:c r="A15" t="inlineStr">
        <x:is>
          <x:t xml:space="preserve">Organic search</x:t>
        </x:is>
      </x:c>
      <x:c r="B15" t="inlineStr">
        <x:is>
          <x:t xml:space="preserve">SQO (formula)</x:t>
        </x:is>
      </x:c>
      <x:c r="C15" t="str">
        <x:v>Intermediate count × SQO rate</x:v>
      </x:c>
      <x:c r="D15" s="9" t="n">
        <x:f>IF(COUNT(D13,D14)&lt;&gt;2,"incomplete",IF(AND(D13&gt;=0,D14&gt;=0,D14&lt;=1),D13*D14,"invalid input"))</x:f>
        <x:v>0</x:v>
      </x:c>
      <x:c r="E15" s="9" t="n">
        <x:f>IF(COUNT(E13,E14)&lt;&gt;2,"incomplete",IF(AND(E13&gt;=0,E14&gt;=0,E14&lt;=1),E13*E14,"invalid input"))</x:f>
        <x:v>0</x:v>
      </x:c>
      <x:c r="F15" s="9" t="n">
        <x:f>IF(COUNT(F13,F14)&lt;&gt;2,"incomplete",IF(AND(F13&gt;=0,F14&gt;=0,F14&lt;=1),F13*F14,"invalid input"))</x:f>
        <x:v>0</x:v>
      </x:c>
      <x:c r="G15" s="9" t="n">
        <x:f>IF(COUNT(G13,G14)&lt;&gt;2,"incomplete",IF(AND(G13&gt;=0,G14&gt;=0,G14&lt;=1),G13*G14,"invalid input"))</x:f>
        <x:v>0</x:v>
      </x:c>
      <x:c r="H15" s="9" t="n">
        <x:f>IF(COUNT(H13,H14)&lt;&gt;2,"incomplete",IF(AND(H13&gt;=0,H14&gt;=0,H14&lt;=1),H13*H14,"invalid input"))</x:f>
        <x:v>0</x:v>
      </x:c>
      <x:c r="I15" s="9" t="n">
        <x:f>IF(COUNT(I13,I14)&lt;&gt;2,"incomplete",IF(AND(I13&gt;=0,I14&gt;=0,I14&lt;=1),I13*I14,"invalid input"))</x:f>
        <x:v>0</x:v>
      </x:c>
      <x:c r="J15" s="9" t="n">
        <x:f>IF(COUNT(J13,J14)&lt;&gt;2,"incomplete",IF(AND(J13&gt;=0,J14&gt;=0,J14&lt;=1),J13*J14,"invalid input"))</x:f>
        <x:v>0</x:v>
      </x:c>
      <x:c r="K15" s="9" t="n">
        <x:f>IF(COUNT(K13,K14)&lt;&gt;2,"incomplete",IF(AND(K13&gt;=0,K14&gt;=0,K14&lt;=1),K13*K14,"invalid input"))</x:f>
        <x:v>0</x:v>
      </x:c>
      <x:c r="L15" s="9" t="n">
        <x:f>IF(COUNT(L13,L14)&lt;&gt;2,"incomplete",IF(AND(L13&gt;=0,L14&gt;=0,L14&lt;=1),L13*L14,"invalid input"))</x:f>
        <x:v>0</x:v>
      </x:c>
      <x:c r="M15" s="9" t="n">
        <x:f>IF(COUNT(M13,M14)&lt;&gt;2,"incomplete",IF(AND(M13&gt;=0,M14&gt;=0,M14&lt;=1),M13*M14,"invalid input"))</x:f>
        <x:v>0</x:v>
      </x:c>
      <x:c r="N15" s="9" t="n">
        <x:f>IF(COUNT(N13,N14)&lt;&gt;2,"incomplete",IF(AND(N13&gt;=0,N14&gt;=0,N14&lt;=1),N13*N14,"invalid input"))</x:f>
        <x:v>0</x:v>
      </x:c>
      <x:c r="O15" s="9" t="n">
        <x:f>IF(COUNT(O13,O14)&lt;&gt;2,"incomplete",IF(AND(O13&gt;=0,O14&gt;=0,O14&lt;=1),O13*O14,"invalid input"))</x:f>
        <x:v>0</x:v>
      </x:c>
    </x:row>
    <x:row r="16">
      <x:c r="A16" s="5" t="inlineStr">
        <x:is>
          <x:t xml:space="preserve">Outbound SDR</x:t>
        </x:is>
      </x:c>
      <x:c r="B16" s="6" t="inlineStr">
        <x:is>
          <x:t xml:space="preserve">Volume (input)</x:t>
        </x:is>
      </x:c>
      <x:c r="C16" s="7" t="inlineStr">
        <x:is>
          <x:t xml:space="preserve">Accounts touched</x:t>
        </x:is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</x:row>
    <x:row r="17">
      <x:c r="A17" t="inlineStr">
        <x:is>
          <x:t xml:space="preserve">Outbound SDR</x:t>
        </x:is>
      </x:c>
      <x:c r="B17" t="inlineStr">
        <x:is>
          <x:t xml:space="preserve">Rate 1 (input)</x:t>
        </x:is>
      </x:c>
      <x:c r="C17" t="inlineStr">
        <x:is>
          <x:t xml:space="preserve">Touch → MQL</x:t>
        </x:is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</x:row>
    <x:row r="18">
      <x:c r="A18" t="inlineStr">
        <x:is>
          <x:t xml:space="preserve">Outbound SDR</x:t>
        </x:is>
      </x:c>
      <x:c r="B18" t="inlineStr">
        <x:is>
          <x:t xml:space="preserve">Mid-count (formula)</x:t>
        </x:is>
      </x:c>
      <x:c r="C18" t="inlineStr">
        <x:is>
          <x:t xml:space="preserve">Volume × rate 1</x:t>
        </x:is>
      </x:c>
      <x:c r="D18" s="8" t="n">
        <x:f>IF(COUNT(D16,D17)&lt;&gt;2,"incomplete",IF(AND(D16&gt;=0,D17&gt;=0,D17&lt;=1),D16*D17,"invalid input"))</x:f>
        <x:v>0</x:v>
      </x:c>
      <x:c r="E18" s="8" t="n">
        <x:f>IF(COUNT(E16,E17)&lt;&gt;2,"incomplete",IF(AND(E16&gt;=0,E17&gt;=0,E17&lt;=1),E16*E17,"invalid input"))</x:f>
        <x:v>0</x:v>
      </x:c>
      <x:c r="F18" s="8" t="n">
        <x:f>IF(COUNT(F16,F17)&lt;&gt;2,"incomplete",IF(AND(F16&gt;=0,F17&gt;=0,F17&lt;=1),F16*F17,"invalid input"))</x:f>
        <x:v>0</x:v>
      </x:c>
      <x:c r="G18" s="8" t="n">
        <x:f>IF(COUNT(G16,G17)&lt;&gt;2,"incomplete",IF(AND(G16&gt;=0,G17&gt;=0,G17&lt;=1),G16*G17,"invalid input"))</x:f>
        <x:v>0</x:v>
      </x:c>
      <x:c r="H18" s="8" t="n">
        <x:f>IF(COUNT(H16,H17)&lt;&gt;2,"incomplete",IF(AND(H16&gt;=0,H17&gt;=0,H17&lt;=1),H16*H17,"invalid input"))</x:f>
        <x:v>0</x:v>
      </x:c>
      <x:c r="I18" s="8" t="n">
        <x:f>IF(COUNT(I16,I17)&lt;&gt;2,"incomplete",IF(AND(I16&gt;=0,I17&gt;=0,I17&lt;=1),I16*I17,"invalid input"))</x:f>
        <x:v>0</x:v>
      </x:c>
      <x:c r="J18" s="8" t="n">
        <x:f>IF(COUNT(J16,J17)&lt;&gt;2,"incomplete",IF(AND(J16&gt;=0,J17&gt;=0,J17&lt;=1),J16*J17,"invalid input"))</x:f>
        <x:v>0</x:v>
      </x:c>
      <x:c r="K18" s="8" t="n">
        <x:f>IF(COUNT(K16,K17)&lt;&gt;2,"incomplete",IF(AND(K16&gt;=0,K17&gt;=0,K17&lt;=1),K16*K17,"invalid input"))</x:f>
        <x:v>0</x:v>
      </x:c>
      <x:c r="L18" s="8" t="n">
        <x:f>IF(COUNT(L16,L17)&lt;&gt;2,"incomplete",IF(AND(L16&gt;=0,L17&gt;=0,L17&lt;=1),L16*L17,"invalid input"))</x:f>
        <x:v>0</x:v>
      </x:c>
      <x:c r="M18" s="8" t="n">
        <x:f>IF(COUNT(M16,M17)&lt;&gt;2,"incomplete",IF(AND(M16&gt;=0,M17&gt;=0,M17&lt;=1),M16*M17,"invalid input"))</x:f>
        <x:v>0</x:v>
      </x:c>
      <x:c r="N18" s="8" t="n">
        <x:f>IF(COUNT(N16,N17)&lt;&gt;2,"incomplete",IF(AND(N16&gt;=0,N17&gt;=0,N17&lt;=1),N16*N17,"invalid input"))</x:f>
        <x:v>0</x:v>
      </x:c>
      <x:c r="O18" s="8" t="n">
        <x:f>IF(COUNT(O16,O17)&lt;&gt;2,"incomplete",IF(AND(O16&gt;=0,O17&gt;=0,O17&lt;=1),O16*O17,"invalid input"))</x:f>
        <x:v>0</x:v>
      </x:c>
    </x:row>
    <x:row r="19">
      <x:c r="A19" t="inlineStr">
        <x:is>
          <x:t xml:space="preserve">Outbound SDR</x:t>
        </x:is>
      </x:c>
      <x:c r="B19" t="inlineStr">
        <x:is>
          <x:t xml:space="preserve">Rate 2 (input)</x:t>
        </x:is>
      </x:c>
      <x:c r="C19" t="str">
        <x:v>MQL → SQO (combined)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</x:row>
    <x:row r="20">
      <x:c r="A20" t="inlineStr">
        <x:is>
          <x:t xml:space="preserve">Outbound SDR</x:t>
        </x:is>
      </x:c>
      <x:c r="B20" t="inlineStr">
        <x:is>
          <x:t xml:space="preserve">SQO (formula)</x:t>
        </x:is>
      </x:c>
      <x:c r="C20" t="str">
        <x:v>Intermediate count × SQO rate</x:v>
      </x:c>
      <x:c r="D20" s="9" t="n">
        <x:f>IF(COUNT(D18,D19)&lt;&gt;2,"incomplete",IF(AND(D18&gt;=0,D19&gt;=0,D19&lt;=1),D18*D19,"invalid input"))</x:f>
        <x:v>0</x:v>
      </x:c>
      <x:c r="E20" s="9" t="n">
        <x:f>IF(COUNT(E18,E19)&lt;&gt;2,"incomplete",IF(AND(E18&gt;=0,E19&gt;=0,E19&lt;=1),E18*E19,"invalid input"))</x:f>
        <x:v>0</x:v>
      </x:c>
      <x:c r="F20" s="9" t="n">
        <x:f>IF(COUNT(F18,F19)&lt;&gt;2,"incomplete",IF(AND(F18&gt;=0,F19&gt;=0,F19&lt;=1),F18*F19,"invalid input"))</x:f>
        <x:v>0</x:v>
      </x:c>
      <x:c r="G20" s="9" t="n">
        <x:f>IF(COUNT(G18,G19)&lt;&gt;2,"incomplete",IF(AND(G18&gt;=0,G19&gt;=0,G19&lt;=1),G18*G19,"invalid input"))</x:f>
        <x:v>0</x:v>
      </x:c>
      <x:c r="H20" s="9" t="n">
        <x:f>IF(COUNT(H18,H19)&lt;&gt;2,"incomplete",IF(AND(H18&gt;=0,H19&gt;=0,H19&lt;=1),H18*H19,"invalid input"))</x:f>
        <x:v>0</x:v>
      </x:c>
      <x:c r="I20" s="9" t="n">
        <x:f>IF(COUNT(I18,I19)&lt;&gt;2,"incomplete",IF(AND(I18&gt;=0,I19&gt;=0,I19&lt;=1),I18*I19,"invalid input"))</x:f>
        <x:v>0</x:v>
      </x:c>
      <x:c r="J20" s="9" t="n">
        <x:f>IF(COUNT(J18,J19)&lt;&gt;2,"incomplete",IF(AND(J18&gt;=0,J19&gt;=0,J19&lt;=1),J18*J19,"invalid input"))</x:f>
        <x:v>0</x:v>
      </x:c>
      <x:c r="K20" s="9" t="n">
        <x:f>IF(COUNT(K18,K19)&lt;&gt;2,"incomplete",IF(AND(K18&gt;=0,K19&gt;=0,K19&lt;=1),K18*K19,"invalid input"))</x:f>
        <x:v>0</x:v>
      </x:c>
      <x:c r="L20" s="9" t="n">
        <x:f>IF(COUNT(L18,L19)&lt;&gt;2,"incomplete",IF(AND(L18&gt;=0,L19&gt;=0,L19&lt;=1),L18*L19,"invalid input"))</x:f>
        <x:v>0</x:v>
      </x:c>
      <x:c r="M20" s="9" t="n">
        <x:f>IF(COUNT(M18,M19)&lt;&gt;2,"incomplete",IF(AND(M18&gt;=0,M19&gt;=0,M19&lt;=1),M18*M19,"invalid input"))</x:f>
        <x:v>0</x:v>
      </x:c>
      <x:c r="N20" s="9" t="n">
        <x:f>IF(COUNT(N18,N19)&lt;&gt;2,"incomplete",IF(AND(N18&gt;=0,N19&gt;=0,N19&lt;=1),N18*N19,"invalid input"))</x:f>
        <x:v>0</x:v>
      </x:c>
      <x:c r="O20" s="9" t="n">
        <x:f>IF(COUNT(O18,O19)&lt;&gt;2,"incomplete",IF(AND(O18&gt;=0,O19&gt;=0,O19&lt;=1),O18*O19,"invalid input"))</x:f>
        <x:v>0</x:v>
      </x:c>
    </x:row>
    <x:row r="21">
      <x:c r="A21" s="5" t="inlineStr">
        <x:is>
          <x:t xml:space="preserve">Events</x:t>
        </x:is>
      </x:c>
      <x:c r="B21" s="6" t="inlineStr">
        <x:is>
          <x:t xml:space="preserve">Volume (input)</x:t>
        </x:is>
      </x:c>
      <x:c r="C21" s="7" t="inlineStr">
        <x:is>
          <x:t xml:space="preserve">Events held</x:t>
        </x:is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</x:row>
    <x:row r="22">
      <x:c r="A22" t="inlineStr">
        <x:is>
          <x:t xml:space="preserve">Events</x:t>
        </x:is>
      </x:c>
      <x:c r="B22" t="inlineStr">
        <x:is>
          <x:t xml:space="preserve">Rate 1 (input)</x:t>
        </x:is>
      </x:c>
      <x:c r="C22" t="inlineStr">
        <x:is>
          <x:t xml:space="preserve">Leads / event</x:t>
        </x:is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</x:row>
    <x:row r="23">
      <x:c r="A23" t="inlineStr">
        <x:is>
          <x:t xml:space="preserve">Events</x:t>
        </x:is>
      </x:c>
      <x:c r="B23" t="inlineStr">
        <x:is>
          <x:t xml:space="preserve">Mid-count (formula)</x:t>
        </x:is>
      </x:c>
      <x:c r="C23" t="inlineStr">
        <x:is>
          <x:t xml:space="preserve">Volume × rate 1</x:t>
        </x:is>
      </x:c>
      <x:c r="D23" s="8" t="n">
        <x:f>IF(COUNT(D21,D22)&lt;&gt;2,"incomplete",IF(AND(D21&gt;=0,D22&gt;=0),D21*D22,"invalid input"))</x:f>
        <x:v>0</x:v>
      </x:c>
      <x:c r="E23" s="8" t="n">
        <x:f>IF(COUNT(E21,E22)&lt;&gt;2,"incomplete",IF(AND(E21&gt;=0,E22&gt;=0),E21*E22,"invalid input"))</x:f>
        <x:v>0</x:v>
      </x:c>
      <x:c r="F23" s="8" t="n">
        <x:f>IF(COUNT(F21,F22)&lt;&gt;2,"incomplete",IF(AND(F21&gt;=0,F22&gt;=0),F21*F22,"invalid input"))</x:f>
        <x:v>0</x:v>
      </x:c>
      <x:c r="G23" s="8" t="n">
        <x:f>IF(COUNT(G21,G22)&lt;&gt;2,"incomplete",IF(AND(G21&gt;=0,G22&gt;=0),G21*G22,"invalid input"))</x:f>
        <x:v>0</x:v>
      </x:c>
      <x:c r="H23" s="8" t="n">
        <x:f>IF(COUNT(H21,H22)&lt;&gt;2,"incomplete",IF(AND(H21&gt;=0,H22&gt;=0),H21*H22,"invalid input"))</x:f>
        <x:v>0</x:v>
      </x:c>
      <x:c r="I23" s="8" t="n">
        <x:f>IF(COUNT(I21,I22)&lt;&gt;2,"incomplete",IF(AND(I21&gt;=0,I22&gt;=0),I21*I22,"invalid input"))</x:f>
        <x:v>0</x:v>
      </x:c>
      <x:c r="J23" s="8" t="n">
        <x:f>IF(COUNT(J21,J22)&lt;&gt;2,"incomplete",IF(AND(J21&gt;=0,J22&gt;=0),J21*J22,"invalid input"))</x:f>
        <x:v>0</x:v>
      </x:c>
      <x:c r="K23" s="8" t="n">
        <x:f>IF(COUNT(K21,K22)&lt;&gt;2,"incomplete",IF(AND(K21&gt;=0,K22&gt;=0),K21*K22,"invalid input"))</x:f>
        <x:v>0</x:v>
      </x:c>
      <x:c r="L23" s="8" t="n">
        <x:f>IF(COUNT(L21,L22)&lt;&gt;2,"incomplete",IF(AND(L21&gt;=0,L22&gt;=0),L21*L22,"invalid input"))</x:f>
        <x:v>0</x:v>
      </x:c>
      <x:c r="M23" s="8" t="n">
        <x:f>IF(COUNT(M21,M22)&lt;&gt;2,"incomplete",IF(AND(M21&gt;=0,M22&gt;=0),M21*M22,"invalid input"))</x:f>
        <x:v>0</x:v>
      </x:c>
      <x:c r="N23" s="8" t="n">
        <x:f>IF(COUNT(N21,N22)&lt;&gt;2,"incomplete",IF(AND(N21&gt;=0,N22&gt;=0),N21*N22,"invalid input"))</x:f>
        <x:v>0</x:v>
      </x:c>
      <x:c r="O23" s="8" t="n">
        <x:f>IF(COUNT(O21,O22)&lt;&gt;2,"incomplete",IF(AND(O21&gt;=0,O22&gt;=0),O21*O22,"invalid input"))</x:f>
        <x:v>0</x:v>
      </x:c>
    </x:row>
    <x:row r="24">
      <x:c r="A24" t="inlineStr">
        <x:is>
          <x:t xml:space="preserve">Events</x:t>
        </x:is>
      </x:c>
      <x:c r="B24" t="inlineStr">
        <x:is>
          <x:t xml:space="preserve">Rate 2 (input)</x:t>
        </x:is>
      </x:c>
      <x:c r="C24" t="str">
        <x:v>Lead → SQO (combined)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</x:row>
    <x:row r="25">
      <x:c r="A25" t="inlineStr">
        <x:is>
          <x:t xml:space="preserve">Events</x:t>
        </x:is>
      </x:c>
      <x:c r="B25" t="inlineStr">
        <x:is>
          <x:t xml:space="preserve">SQO (formula)</x:t>
        </x:is>
      </x:c>
      <x:c r="C25" t="str">
        <x:v>Intermediate count × SQO rate</x:v>
      </x:c>
      <x:c r="D25" s="9" t="n">
        <x:f>IF(COUNT(D23,D24)&lt;&gt;2,"incomplete",IF(AND(D23&gt;=0,D24&gt;=0,D24&lt;=1),D23*D24,"invalid input"))</x:f>
        <x:v>0</x:v>
      </x:c>
      <x:c r="E25" s="9" t="n">
        <x:f>IF(COUNT(E23,E24)&lt;&gt;2,"incomplete",IF(AND(E23&gt;=0,E24&gt;=0,E24&lt;=1),E23*E24,"invalid input"))</x:f>
        <x:v>0</x:v>
      </x:c>
      <x:c r="F25" s="9" t="n">
        <x:f>IF(COUNT(F23,F24)&lt;&gt;2,"incomplete",IF(AND(F23&gt;=0,F24&gt;=0,F24&lt;=1),F23*F24,"invalid input"))</x:f>
        <x:v>0</x:v>
      </x:c>
      <x:c r="G25" s="9" t="n">
        <x:f>IF(COUNT(G23,G24)&lt;&gt;2,"incomplete",IF(AND(G23&gt;=0,G24&gt;=0,G24&lt;=1),G23*G24,"invalid input"))</x:f>
        <x:v>0</x:v>
      </x:c>
      <x:c r="H25" s="9" t="n">
        <x:f>IF(COUNT(H23,H24)&lt;&gt;2,"incomplete",IF(AND(H23&gt;=0,H24&gt;=0,H24&lt;=1),H23*H24,"invalid input"))</x:f>
        <x:v>0</x:v>
      </x:c>
      <x:c r="I25" s="9" t="n">
        <x:f>IF(COUNT(I23,I24)&lt;&gt;2,"incomplete",IF(AND(I23&gt;=0,I24&gt;=0,I24&lt;=1),I23*I24,"invalid input"))</x:f>
        <x:v>0</x:v>
      </x:c>
      <x:c r="J25" s="9" t="n">
        <x:f>IF(COUNT(J23,J24)&lt;&gt;2,"incomplete",IF(AND(J23&gt;=0,J24&gt;=0,J24&lt;=1),J23*J24,"invalid input"))</x:f>
        <x:v>0</x:v>
      </x:c>
      <x:c r="K25" s="9" t="n">
        <x:f>IF(COUNT(K23,K24)&lt;&gt;2,"incomplete",IF(AND(K23&gt;=0,K24&gt;=0,K24&lt;=1),K23*K24,"invalid input"))</x:f>
        <x:v>0</x:v>
      </x:c>
      <x:c r="L25" s="9" t="n">
        <x:f>IF(COUNT(L23,L24)&lt;&gt;2,"incomplete",IF(AND(L23&gt;=0,L24&gt;=0,L24&lt;=1),L23*L24,"invalid input"))</x:f>
        <x:v>0</x:v>
      </x:c>
      <x:c r="M25" s="9" t="n">
        <x:f>IF(COUNT(M23,M24)&lt;&gt;2,"incomplete",IF(AND(M23&gt;=0,M24&gt;=0,M24&lt;=1),M23*M24,"invalid input"))</x:f>
        <x:v>0</x:v>
      </x:c>
      <x:c r="N25" s="9" t="n">
        <x:f>IF(COUNT(N23,N24)&lt;&gt;2,"incomplete",IF(AND(N23&gt;=0,N24&gt;=0,N24&lt;=1),N23*N24,"invalid input"))</x:f>
        <x:v>0</x:v>
      </x:c>
      <x:c r="O25" s="9" t="n">
        <x:f>IF(COUNT(O23,O24)&lt;&gt;2,"incomplete",IF(AND(O23&gt;=0,O24&gt;=0,O24&lt;=1),O23*O24,"invalid input"))</x:f>
        <x:v>0</x:v>
      </x:c>
    </x:row>
    <x:row r="26">
      <x:c r="A26" s="5" t="inlineStr">
        <x:is>
          <x:t xml:space="preserve">Other (name it)</x:t>
        </x:is>
      </x:c>
      <x:c r="B26" s="6" t="inlineStr">
        <x:is>
          <x:t xml:space="preserve">Volume (input)</x:t>
        </x:is>
      </x:c>
      <x:c r="C26" s="7" t="inlineStr">
        <x:is>
          <x:t xml:space="preserve">Volume</x:t>
        </x:is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</x:row>
    <x:row r="27">
      <x:c r="A27" t="inlineStr">
        <x:is>
          <x:t xml:space="preserve">Other (name it)</x:t>
        </x:is>
      </x:c>
      <x:c r="B27" t="inlineStr">
        <x:is>
          <x:t xml:space="preserve">Rate 1 (input)</x:t>
        </x:is>
      </x:c>
      <x:c r="C27" t="inlineStr">
        <x:is>
          <x:t xml:space="preserve">→ MQL</x:t>
        </x:is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</x:row>
    <x:row r="28">
      <x:c r="A28" t="inlineStr">
        <x:is>
          <x:t xml:space="preserve">Other (name it)</x:t>
        </x:is>
      </x:c>
      <x:c r="B28" t="inlineStr">
        <x:is>
          <x:t xml:space="preserve">Mid-count (formula)</x:t>
        </x:is>
      </x:c>
      <x:c r="C28" t="inlineStr">
        <x:is>
          <x:t xml:space="preserve">Volume × rate 1</x:t>
        </x:is>
      </x:c>
      <x:c r="D28" s="8" t="n">
        <x:f>IF(COUNT(D26,D27)&lt;&gt;2,"incomplete",IF(AND(D26&gt;=0,D27&gt;=0,D27&lt;=1),D26*D27,"invalid input"))</x:f>
        <x:v>0</x:v>
      </x:c>
      <x:c r="E28" s="8" t="n">
        <x:f>IF(COUNT(E26,E27)&lt;&gt;2,"incomplete",IF(AND(E26&gt;=0,E27&gt;=0,E27&lt;=1),E26*E27,"invalid input"))</x:f>
        <x:v>0</x:v>
      </x:c>
      <x:c r="F28" s="8" t="n">
        <x:f>IF(COUNT(F26,F27)&lt;&gt;2,"incomplete",IF(AND(F26&gt;=0,F27&gt;=0,F27&lt;=1),F26*F27,"invalid input"))</x:f>
        <x:v>0</x:v>
      </x:c>
      <x:c r="G28" s="8" t="n">
        <x:f>IF(COUNT(G26,G27)&lt;&gt;2,"incomplete",IF(AND(G26&gt;=0,G27&gt;=0,G27&lt;=1),G26*G27,"invalid input"))</x:f>
        <x:v>0</x:v>
      </x:c>
      <x:c r="H28" s="8" t="n">
        <x:f>IF(COUNT(H26,H27)&lt;&gt;2,"incomplete",IF(AND(H26&gt;=0,H27&gt;=0,H27&lt;=1),H26*H27,"invalid input"))</x:f>
        <x:v>0</x:v>
      </x:c>
      <x:c r="I28" s="8" t="n">
        <x:f>IF(COUNT(I26,I27)&lt;&gt;2,"incomplete",IF(AND(I26&gt;=0,I27&gt;=0,I27&lt;=1),I26*I27,"invalid input"))</x:f>
        <x:v>0</x:v>
      </x:c>
      <x:c r="J28" s="8" t="n">
        <x:f>IF(COUNT(J26,J27)&lt;&gt;2,"incomplete",IF(AND(J26&gt;=0,J27&gt;=0,J27&lt;=1),J26*J27,"invalid input"))</x:f>
        <x:v>0</x:v>
      </x:c>
      <x:c r="K28" s="8" t="n">
        <x:f>IF(COUNT(K26,K27)&lt;&gt;2,"incomplete",IF(AND(K26&gt;=0,K27&gt;=0,K27&lt;=1),K26*K27,"invalid input"))</x:f>
        <x:v>0</x:v>
      </x:c>
      <x:c r="L28" s="8" t="n">
        <x:f>IF(COUNT(L26,L27)&lt;&gt;2,"incomplete",IF(AND(L26&gt;=0,L27&gt;=0,L27&lt;=1),L26*L27,"invalid input"))</x:f>
        <x:v>0</x:v>
      </x:c>
      <x:c r="M28" s="8" t="n">
        <x:f>IF(COUNT(M26,M27)&lt;&gt;2,"incomplete",IF(AND(M26&gt;=0,M27&gt;=0,M27&lt;=1),M26*M27,"invalid input"))</x:f>
        <x:v>0</x:v>
      </x:c>
      <x:c r="N28" s="8" t="n">
        <x:f>IF(COUNT(N26,N27)&lt;&gt;2,"incomplete",IF(AND(N26&gt;=0,N27&gt;=0,N27&lt;=1),N26*N27,"invalid input"))</x:f>
        <x:v>0</x:v>
      </x:c>
      <x:c r="O28" s="8" t="n">
        <x:f>IF(COUNT(O26,O27)&lt;&gt;2,"incomplete",IF(AND(O26&gt;=0,O27&gt;=0,O27&lt;=1),O26*O27,"invalid input"))</x:f>
        <x:v>0</x:v>
      </x:c>
    </x:row>
    <x:row r="29">
      <x:c r="A29" t="inlineStr">
        <x:is>
          <x:t xml:space="preserve">Other (name it)</x:t>
        </x:is>
      </x:c>
      <x:c r="B29" t="inlineStr">
        <x:is>
          <x:t xml:space="preserve">Rate 2 (input)</x:t>
        </x:is>
      </x:c>
      <x:c r="C29" t="str">
        <x:v>MQL → SQO (combined)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</x:row>
    <x:row r="30">
      <x:c r="A30" t="inlineStr">
        <x:is>
          <x:t xml:space="preserve">Other (name it)</x:t>
        </x:is>
      </x:c>
      <x:c r="B30" t="inlineStr">
        <x:is>
          <x:t xml:space="preserve">SQO (formula)</x:t>
        </x:is>
      </x:c>
      <x:c r="C30" t="str">
        <x:v>Intermediate count × SQO rate</x:v>
      </x:c>
      <x:c r="D30" s="9" t="n">
        <x:f>IF(COUNT(D28,D29)&lt;&gt;2,"incomplete",IF(AND(D28&gt;=0,D29&gt;=0,D29&lt;=1),D28*D29,"invalid input"))</x:f>
        <x:v>0</x:v>
      </x:c>
      <x:c r="E30" s="9" t="n">
        <x:f>IF(COUNT(E28,E29)&lt;&gt;2,"incomplete",IF(AND(E28&gt;=0,E29&gt;=0,E29&lt;=1),E28*E29,"invalid input"))</x:f>
        <x:v>0</x:v>
      </x:c>
      <x:c r="F30" s="9" t="n">
        <x:f>IF(COUNT(F28,F29)&lt;&gt;2,"incomplete",IF(AND(F28&gt;=0,F29&gt;=0,F29&lt;=1),F28*F29,"invalid input"))</x:f>
        <x:v>0</x:v>
      </x:c>
      <x:c r="G30" s="9" t="n">
        <x:f>IF(COUNT(G28,G29)&lt;&gt;2,"incomplete",IF(AND(G28&gt;=0,G29&gt;=0,G29&lt;=1),G28*G29,"invalid input"))</x:f>
        <x:v>0</x:v>
      </x:c>
      <x:c r="H30" s="9" t="n">
        <x:f>IF(COUNT(H28,H29)&lt;&gt;2,"incomplete",IF(AND(H28&gt;=0,H29&gt;=0,H29&lt;=1),H28*H29,"invalid input"))</x:f>
        <x:v>0</x:v>
      </x:c>
      <x:c r="I30" s="9" t="n">
        <x:f>IF(COUNT(I28,I29)&lt;&gt;2,"incomplete",IF(AND(I28&gt;=0,I29&gt;=0,I29&lt;=1),I28*I29,"invalid input"))</x:f>
        <x:v>0</x:v>
      </x:c>
      <x:c r="J30" s="9" t="n">
        <x:f>IF(COUNT(J28,J29)&lt;&gt;2,"incomplete",IF(AND(J28&gt;=0,J29&gt;=0,J29&lt;=1),J28*J29,"invalid input"))</x:f>
        <x:v>0</x:v>
      </x:c>
      <x:c r="K30" s="9" t="n">
        <x:f>IF(COUNT(K28,K29)&lt;&gt;2,"incomplete",IF(AND(K28&gt;=0,K29&gt;=0,K29&lt;=1),K28*K29,"invalid input"))</x:f>
        <x:v>0</x:v>
      </x:c>
      <x:c r="L30" s="9" t="n">
        <x:f>IF(COUNT(L28,L29)&lt;&gt;2,"incomplete",IF(AND(L28&gt;=0,L29&gt;=0,L29&lt;=1),L28*L29,"invalid input"))</x:f>
        <x:v>0</x:v>
      </x:c>
      <x:c r="M30" s="9" t="n">
        <x:f>IF(COUNT(M28,M29)&lt;&gt;2,"incomplete",IF(AND(M28&gt;=0,M29&gt;=0,M29&lt;=1),M28*M29,"invalid input"))</x:f>
        <x:v>0</x:v>
      </x:c>
      <x:c r="N30" s="9" t="n">
        <x:f>IF(COUNT(N28,N29)&lt;&gt;2,"incomplete",IF(AND(N28&gt;=0,N29&gt;=0,N29&lt;=1),N28*N29,"invalid input"))</x:f>
        <x:v>0</x:v>
      </x:c>
      <x:c r="O30" s="9" t="n">
        <x:f>IF(COUNT(O28,O29)&lt;&gt;2,"incomplete",IF(AND(O28&gt;=0,O29&gt;=0,O29&lt;=1),O28*O29,"invalid input"))</x:f>
        <x:v>0</x:v>
      </x:c>
    </x:row>
    <x:row r="31">
      <x:c r="A31" s="10" t="inlineStr">
        <x:is>
          <x:t xml:space="preserve">All channels</x:t>
        </x:is>
      </x:c>
      <x:c r="B31" s="10" t="inlineStr">
        <x:is>
          <x:t xml:space="preserve">SQO total</x:t>
        </x:is>
      </x:c>
      <x:c r="D31" s="11" t="n">
        <x:f>IF(COUNT(D10,D15,D20,D25,D30)&lt;&gt;5,"incomplete",SUM(D10,D15,D20,D25,D30))</x:f>
        <x:v>0</x:v>
      </x:c>
      <x:c r="E31" s="11" t="n">
        <x:f>IF(COUNT(E10,E15,E20,E25,E30)&lt;&gt;5,"incomplete",SUM(E10,E15,E20,E25,E30))</x:f>
        <x:v>0</x:v>
      </x:c>
      <x:c r="F31" s="11" t="n">
        <x:f>IF(COUNT(F10,F15,F20,F25,F30)&lt;&gt;5,"incomplete",SUM(F10,F15,F20,F25,F30))</x:f>
        <x:v>0</x:v>
      </x:c>
      <x:c r="G31" s="11" t="n">
        <x:f>IF(COUNT(G10,G15,G20,G25,G30)&lt;&gt;5,"incomplete",SUM(G10,G15,G20,G25,G30))</x:f>
        <x:v>0</x:v>
      </x:c>
      <x:c r="H31" s="11" t="n">
        <x:f>IF(COUNT(H10,H15,H20,H25,H30)&lt;&gt;5,"incomplete",SUM(H10,H15,H20,H25,H30))</x:f>
        <x:v>0</x:v>
      </x:c>
      <x:c r="I31" s="11" t="n">
        <x:f>IF(COUNT(I10,I15,I20,I25,I30)&lt;&gt;5,"incomplete",SUM(I10,I15,I20,I25,I30))</x:f>
        <x:v>0</x:v>
      </x:c>
      <x:c r="J31" s="11" t="n">
        <x:f>IF(COUNT(J10,J15,J20,J25,J30)&lt;&gt;5,"incomplete",SUM(J10,J15,J20,J25,J30))</x:f>
        <x:v>0</x:v>
      </x:c>
      <x:c r="K31" s="11" t="n">
        <x:f>IF(COUNT(K10,K15,K20,K25,K30)&lt;&gt;5,"incomplete",SUM(K10,K15,K20,K25,K30))</x:f>
        <x:v>0</x:v>
      </x:c>
      <x:c r="L31" s="11" t="n">
        <x:f>IF(COUNT(L10,L15,L20,L25,L30)&lt;&gt;5,"incomplete",SUM(L10,L15,L20,L25,L30))</x:f>
        <x:v>0</x:v>
      </x:c>
      <x:c r="M31" s="11" t="n">
        <x:f>IF(COUNT(M10,M15,M20,M25,M30)&lt;&gt;5,"incomplete",SUM(M10,M15,M20,M25,M30))</x:f>
        <x:v>0</x:v>
      </x:c>
      <x:c r="N31" s="11" t="n">
        <x:f>IF(COUNT(N10,N15,N20,N25,N30)&lt;&gt;5,"incomplete",SUM(N10,N15,N20,N25,N30))</x:f>
        <x:v>0</x:v>
      </x:c>
      <x:c r="O31" s="11" t="n">
        <x:f>IF(COUNT(O10,O15,O20,O25,O30)&lt;&gt;5,"incomplete",SUM(O10,O15,O20,O25,O30))</x:f>
        <x:v>0</x:v>
      </x:c>
    </x:row>
    <x:row r="33">
      <x:c r="A33" s="5" t="inlineStr">
        <x:is>
          <x:t xml:space="preserve">Paid cost this period (input, optional)</x:t>
        </x:is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</x:row>
    <x:row r="34">
      <x:c r="A34" s="5" t="inlineStr">
        <x:is>
          <x:t xml:space="preserve">Cost per SQO (formula)</x:t>
        </x:is>
      </x:c>
      <x:c r="D34" s="12" t="str">
        <x:f>IF(COUNT(D31,D33)&lt;&gt;2,"incomplete",IF(D33&lt;0,"invalid input",IF(D31=0,"",D33/D31)))</x:f>
      </x:c>
      <x:c r="E34" s="12" t="str">
        <x:f>IF(COUNT(E31,E33)&lt;&gt;2,"incomplete",IF(E33&lt;0,"invalid input",IF(E31=0,"",E33/E31)))</x:f>
      </x:c>
      <x:c r="F34" s="12" t="str">
        <x:f>IF(COUNT(F31,F33)&lt;&gt;2,"incomplete",IF(F33&lt;0,"invalid input",IF(F31=0,"",F33/F31)))</x:f>
      </x:c>
      <x:c r="G34" s="12" t="str">
        <x:f>IF(COUNT(G31,G33)&lt;&gt;2,"incomplete",IF(G33&lt;0,"invalid input",IF(G31=0,"",G33/G31)))</x:f>
      </x:c>
      <x:c r="H34" s="12" t="str">
        <x:f>IF(COUNT(H31,H33)&lt;&gt;2,"incomplete",IF(H33&lt;0,"invalid input",IF(H31=0,"",H33/H31)))</x:f>
      </x:c>
      <x:c r="I34" s="12" t="str">
        <x:f>IF(COUNT(I31,I33)&lt;&gt;2,"incomplete",IF(I33&lt;0,"invalid input",IF(I31=0,"",I33/I31)))</x:f>
      </x:c>
      <x:c r="J34" s="12" t="str">
        <x:f>IF(COUNT(J31,J33)&lt;&gt;2,"incomplete",IF(J33&lt;0,"invalid input",IF(J31=0,"",J33/J31)))</x:f>
      </x:c>
      <x:c r="K34" s="12" t="str">
        <x:f>IF(COUNT(K31,K33)&lt;&gt;2,"incomplete",IF(K33&lt;0,"invalid input",IF(K31=0,"",K33/K31)))</x:f>
      </x:c>
      <x:c r="L34" s="12" t="str">
        <x:f>IF(COUNT(L31,L33)&lt;&gt;2,"incomplete",IF(L33&lt;0,"invalid input",IF(L31=0,"",L33/L31)))</x:f>
      </x:c>
      <x:c r="M34" s="12" t="str">
        <x:f>IF(COUNT(M31,M33)&lt;&gt;2,"incomplete",IF(M33&lt;0,"invalid input",IF(M31=0,"",M33/M31)))</x:f>
      </x:c>
      <x:c r="N34" s="12" t="str">
        <x:f>IF(COUNT(N31,N33)&lt;&gt;2,"incomplete",IF(N33&lt;0,"invalid input",IF(N31=0,"",N33/N31)))</x:f>
      </x:c>
      <x:c r="O34" s="12" t="str">
        <x:f>IF(COUNT(O31,O33)&lt;&gt;2,"incomplete",IF(O33&lt;0,"invalid input",IF(O31=0,"",O33/O31)))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0" customWidth="1"/>
  </x:cols>
  <x:sheetData>
    <x:row r="1" ht="28" customHeight="1">
      <x:c r="A1" s="1" t="inlineStr">
        <x:is>
          <x:t xml:space="preserve">Invented — not a forecast. Shows shape only. Your rates come from your last four quarters.</x:t>
        </x:is>
      </x:c>
    </x:row>
    <x:row r="3" ht="40" customHeight="1">
      <x:c r="A3" s="5" t="inlineStr">
        <x:is>
          <x:t xml:space="preserve">Story</x:t>
        </x:is>
      </x:c>
      <x:c r="B3" s="13" t="str">
        <x:v>Fictional single-channel test: set other channel inputs to zero. Clear inputs whose values are unknown.</x:v>
      </x:c>
    </x:row>
    <x:row r="4" ht="40" customHeight="1">
      <x:c r="A4" s="5" t="inlineStr">
        <x:is>
          <x:t xml:space="preserve">Paid search example shape</x:t>
        </x:is>
      </x:c>
      <x:c r="B4" s="13" t="str">
        <x:v>8,000 clicks × 0.02 click-to-MQL × 0.10 MQL-to-SQO = 16 SQOs. Combined 0.10 = 0.25 MQL-to-SQL × 0.40 SQL-to-SQO. These rates are invented.</x:v>
      </x:c>
    </x:row>
    <x:row r="5" ht="40" customHeight="1">
      <x:c r="A5" s="5" t="inlineStr">
        <x:is>
          <x:t xml:space="preserve">Constraint reminder</x:t>
        </x:is>
      </x:c>
      <x:c r="B5" s="13" t="str">
        <x:v>Events: 2 events × 100 leads/event × 0.05 lead-to-SQO = 10 SQOs. Lead-to-SQO includes any MQL and SQL stages. Compare demand SQOs with capacity at the same entry stage, not directly with closed-won deals.</x:v>
      </x:c>
    </x:row>
  </x:sheetData>
  <x:mergeCells>
    <x:mergeCell ref="A1:B1"/>
  </x:mergeCells>
  <x:pageMargins left="0.7" right="0.7" top="0.75" bottom="0.75" header="0.3" footer="0.3"/>
</x:worksheet>
</file>