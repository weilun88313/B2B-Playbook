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and plan" sheetId="1" state="visible" r:id="rId1"/>
    <sheet name="Teaching fill" sheetId="2" state="visible" r:id="rId2"/>
  </sheets>
  <definedNames>
    <definedName name="_xlnm._FilterDatabase" localSheetId="0" hidden="1">'Demand plan'!$A$5:$O$5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7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D9D0C3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5" borderId="0" pivotButton="0" quotePrefix="0" xfId="0"/>
    <xf numFmtId="1" fontId="0" fillId="0" borderId="0" pivotButton="0" quotePrefix="0" xfId="0"/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8" customHeight="1">
      <c r="A1" s="1" t="inlineStr">
        <is>
          <t>B2B Playbook · Demand plan</t>
        </is>
      </c>
    </row>
    <row r="2" ht="36" customHeight="1">
      <c r="A2" s="2" t="inlineStr">
        <is>
          <t>Each channel has its own conversion chain. Outputs are formulas. Do not type over them to make the year work. Yellow = inputs. Copyright © 2026 Ivan Xu.</t>
        </is>
      </c>
    </row>
    <row r="3">
      <c r="A3" t="inlineStr">
        <is>
          <t>Output object (must match capacity + forecast)</t>
        </is>
      </c>
      <c r="B3" s="3" t="inlineStr">
        <is>
          <t>SQO</t>
        </is>
      </c>
      <c r="C3" t="inlineStr">
        <is>
          <t>Assumption freeze date</t>
        </is>
      </c>
      <c r="D3" s="3" t="n"/>
      <c r="E3" t="inlineStr">
        <is>
          <t>Owner</t>
        </is>
      </c>
      <c r="F3" s="3" t="n"/>
    </row>
    <row r="5" ht="22" customHeight="1">
      <c r="A5" s="4" t="inlineStr">
        <is>
          <t>Channel</t>
        </is>
      </c>
      <c r="B5" s="4" t="inlineStr">
        <is>
          <t>Line</t>
        </is>
      </c>
      <c r="C5" s="4" t="inlineStr">
        <is>
          <t>Unit / rate</t>
        </is>
      </c>
      <c r="D5" s="4" t="inlineStr">
        <is>
          <t>M1</t>
        </is>
      </c>
      <c r="E5" s="4" t="inlineStr">
        <is>
          <t>M2</t>
        </is>
      </c>
      <c r="F5" s="4" t="inlineStr">
        <is>
          <t>M3</t>
        </is>
      </c>
      <c r="G5" s="4" t="inlineStr">
        <is>
          <t>M4</t>
        </is>
      </c>
      <c r="H5" s="4" t="inlineStr">
        <is>
          <t>M5</t>
        </is>
      </c>
      <c r="I5" s="4" t="inlineStr">
        <is>
          <t>M6</t>
        </is>
      </c>
      <c r="J5" s="4" t="inlineStr">
        <is>
          <t>M7</t>
        </is>
      </c>
      <c r="K5" s="4" t="inlineStr">
        <is>
          <t>M8</t>
        </is>
      </c>
      <c r="L5" s="4" t="inlineStr">
        <is>
          <t>M9</t>
        </is>
      </c>
      <c r="M5" s="4" t="inlineStr">
        <is>
          <t>M10</t>
        </is>
      </c>
      <c r="N5" s="4" t="inlineStr">
        <is>
          <t>M11</t>
        </is>
      </c>
      <c r="O5" s="4" t="inlineStr">
        <is>
          <t>M12</t>
        </is>
      </c>
    </row>
    <row r="6">
      <c r="A6" s="5" t="inlineStr">
        <is>
          <t>Paid search</t>
        </is>
      </c>
      <c r="B6" s="6" t="inlineStr">
        <is>
          <t>Volume (input)</t>
        </is>
      </c>
      <c r="C6" s="7" t="inlineStr">
        <is>
          <t>Clicks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</row>
    <row r="7">
      <c r="A7" t="inlineStr">
        <is>
          <t>Paid search</t>
        </is>
      </c>
      <c r="B7" t="inlineStr">
        <is>
          <t>Rate 1 (input)</t>
        </is>
      </c>
      <c r="C7" t="inlineStr">
        <is>
          <t>Click → MQL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</row>
    <row r="8">
      <c r="A8" t="inlineStr">
        <is>
          <t>Paid search</t>
        </is>
      </c>
      <c r="B8" t="inlineStr">
        <is>
          <t>Mid-count (formula)</t>
        </is>
      </c>
      <c r="C8" t="inlineStr">
        <is>
          <t>Volume × rate 1</t>
        </is>
      </c>
      <c r="D8" s="8">
        <f>D6*D7</f>
        <v/>
      </c>
      <c r="E8" s="8">
        <f>E6*E7</f>
        <v/>
      </c>
      <c r="F8" s="8">
        <f>F6*F7</f>
        <v/>
      </c>
      <c r="G8" s="8">
        <f>G6*G7</f>
        <v/>
      </c>
      <c r="H8" s="8">
        <f>H6*H7</f>
        <v/>
      </c>
      <c r="I8" s="8">
        <f>I6*I7</f>
        <v/>
      </c>
      <c r="J8" s="8">
        <f>J6*J7</f>
        <v/>
      </c>
      <c r="K8" s="8">
        <f>K6*K7</f>
        <v/>
      </c>
      <c r="L8" s="8">
        <f>L6*L7</f>
        <v/>
      </c>
      <c r="M8" s="8">
        <f>M6*M7</f>
        <v/>
      </c>
      <c r="N8" s="8">
        <f>N6*N7</f>
        <v/>
      </c>
      <c r="O8" s="8">
        <f>O6*O7</f>
        <v/>
      </c>
    </row>
    <row r="9">
      <c r="A9" t="inlineStr">
        <is>
          <t>Paid search</t>
        </is>
      </c>
      <c r="B9" t="inlineStr">
        <is>
          <t>Rate 2 (input)</t>
        </is>
      </c>
      <c r="C9" t="inlineStr">
        <is>
          <t>MQL → SQL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</row>
    <row r="10">
      <c r="A10" t="inlineStr">
        <is>
          <t>Paid search</t>
        </is>
      </c>
      <c r="B10" t="inlineStr">
        <is>
          <t>SQO (formula)</t>
        </is>
      </c>
      <c r="C10" t="inlineStr">
        <is>
          <t>SQL → SQO — last rate × mid</t>
        </is>
      </c>
      <c r="D10" s="9">
        <f>D8*D9</f>
        <v/>
      </c>
      <c r="E10" s="9">
        <f>E8*E9</f>
        <v/>
      </c>
      <c r="F10" s="9">
        <f>F8*F9</f>
        <v/>
      </c>
      <c r="G10" s="9">
        <f>G8*G9</f>
        <v/>
      </c>
      <c r="H10" s="9">
        <f>H8*H9</f>
        <v/>
      </c>
      <c r="I10" s="9">
        <f>I8*I9</f>
        <v/>
      </c>
      <c r="J10" s="9">
        <f>J8*J9</f>
        <v/>
      </c>
      <c r="K10" s="9">
        <f>K8*K9</f>
        <v/>
      </c>
      <c r="L10" s="9">
        <f>L8*L9</f>
        <v/>
      </c>
      <c r="M10" s="9">
        <f>M8*M9</f>
        <v/>
      </c>
      <c r="N10" s="9">
        <f>N8*N9</f>
        <v/>
      </c>
      <c r="O10" s="9">
        <f>O8*O9</f>
        <v/>
      </c>
    </row>
    <row r="11">
      <c r="A11" s="5" t="inlineStr">
        <is>
          <t>Organic search</t>
        </is>
      </c>
      <c r="B11" s="6" t="inlineStr">
        <is>
          <t>Volume (input)</t>
        </is>
      </c>
      <c r="C11" s="7" t="inlineStr">
        <is>
          <t>Pageviews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</row>
    <row r="12">
      <c r="A12" t="inlineStr">
        <is>
          <t>Organic search</t>
        </is>
      </c>
      <c r="B12" t="inlineStr">
        <is>
          <t>Rate 1 (input)</t>
        </is>
      </c>
      <c r="C12" t="inlineStr">
        <is>
          <t>View → MQL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</row>
    <row r="13">
      <c r="A13" t="inlineStr">
        <is>
          <t>Organic search</t>
        </is>
      </c>
      <c r="B13" t="inlineStr">
        <is>
          <t>Mid-count (formula)</t>
        </is>
      </c>
      <c r="C13" t="inlineStr">
        <is>
          <t>Volume × rate 1</t>
        </is>
      </c>
      <c r="D13" s="8">
        <f>D11*D12</f>
        <v/>
      </c>
      <c r="E13" s="8">
        <f>E11*E12</f>
        <v/>
      </c>
      <c r="F13" s="8">
        <f>F11*F12</f>
        <v/>
      </c>
      <c r="G13" s="8">
        <f>G11*G12</f>
        <v/>
      </c>
      <c r="H13" s="8">
        <f>H11*H12</f>
        <v/>
      </c>
      <c r="I13" s="8">
        <f>I11*I12</f>
        <v/>
      </c>
      <c r="J13" s="8">
        <f>J11*J12</f>
        <v/>
      </c>
      <c r="K13" s="8">
        <f>K11*K12</f>
        <v/>
      </c>
      <c r="L13" s="8">
        <f>L11*L12</f>
        <v/>
      </c>
      <c r="M13" s="8">
        <f>M11*M12</f>
        <v/>
      </c>
      <c r="N13" s="8">
        <f>N11*N12</f>
        <v/>
      </c>
      <c r="O13" s="8">
        <f>O11*O12</f>
        <v/>
      </c>
    </row>
    <row r="14">
      <c r="A14" t="inlineStr">
        <is>
          <t>Organic search</t>
        </is>
      </c>
      <c r="B14" t="inlineStr">
        <is>
          <t>Rate 2 (input)</t>
        </is>
      </c>
      <c r="C14" t="inlineStr">
        <is>
          <t>MQL → SQL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</row>
    <row r="15">
      <c r="A15" t="inlineStr">
        <is>
          <t>Organic search</t>
        </is>
      </c>
      <c r="B15" t="inlineStr">
        <is>
          <t>SQO (formula)</t>
        </is>
      </c>
      <c r="C15" t="inlineStr">
        <is>
          <t>SQL → SQO — last rate × mid</t>
        </is>
      </c>
      <c r="D15" s="9">
        <f>D13*D14</f>
        <v/>
      </c>
      <c r="E15" s="9">
        <f>E13*E14</f>
        <v/>
      </c>
      <c r="F15" s="9">
        <f>F13*F14</f>
        <v/>
      </c>
      <c r="G15" s="9">
        <f>G13*G14</f>
        <v/>
      </c>
      <c r="H15" s="9">
        <f>H13*H14</f>
        <v/>
      </c>
      <c r="I15" s="9">
        <f>I13*I14</f>
        <v/>
      </c>
      <c r="J15" s="9">
        <f>J13*J14</f>
        <v/>
      </c>
      <c r="K15" s="9">
        <f>K13*K14</f>
        <v/>
      </c>
      <c r="L15" s="9">
        <f>L13*L14</f>
        <v/>
      </c>
      <c r="M15" s="9">
        <f>M13*M14</f>
        <v/>
      </c>
      <c r="N15" s="9">
        <f>N13*N14</f>
        <v/>
      </c>
      <c r="O15" s="9">
        <f>O13*O14</f>
        <v/>
      </c>
    </row>
    <row r="16">
      <c r="A16" s="5" t="inlineStr">
        <is>
          <t>Outbound SDR</t>
        </is>
      </c>
      <c r="B16" s="6" t="inlineStr">
        <is>
          <t>Volume (input)</t>
        </is>
      </c>
      <c r="C16" s="7" t="inlineStr">
        <is>
          <t>Accounts touched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</row>
    <row r="17">
      <c r="A17" t="inlineStr">
        <is>
          <t>Outbound SDR</t>
        </is>
      </c>
      <c r="B17" t="inlineStr">
        <is>
          <t>Rate 1 (input)</t>
        </is>
      </c>
      <c r="C17" t="inlineStr">
        <is>
          <t>Touch → MQL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</row>
    <row r="18">
      <c r="A18" t="inlineStr">
        <is>
          <t>Outbound SDR</t>
        </is>
      </c>
      <c r="B18" t="inlineStr">
        <is>
          <t>Mid-count (formula)</t>
        </is>
      </c>
      <c r="C18" t="inlineStr">
        <is>
          <t>Volume × rate 1</t>
        </is>
      </c>
      <c r="D18" s="8">
        <f>D16*D17</f>
        <v/>
      </c>
      <c r="E18" s="8">
        <f>E16*E17</f>
        <v/>
      </c>
      <c r="F18" s="8">
        <f>F16*F17</f>
        <v/>
      </c>
      <c r="G18" s="8">
        <f>G16*G17</f>
        <v/>
      </c>
      <c r="H18" s="8">
        <f>H16*H17</f>
        <v/>
      </c>
      <c r="I18" s="8">
        <f>I16*I17</f>
        <v/>
      </c>
      <c r="J18" s="8">
        <f>J16*J17</f>
        <v/>
      </c>
      <c r="K18" s="8">
        <f>K16*K17</f>
        <v/>
      </c>
      <c r="L18" s="8">
        <f>L16*L17</f>
        <v/>
      </c>
      <c r="M18" s="8">
        <f>M16*M17</f>
        <v/>
      </c>
      <c r="N18" s="8">
        <f>N16*N17</f>
        <v/>
      </c>
      <c r="O18" s="8">
        <f>O16*O17</f>
        <v/>
      </c>
    </row>
    <row r="19">
      <c r="A19" t="inlineStr">
        <is>
          <t>Outbound SDR</t>
        </is>
      </c>
      <c r="B19" t="inlineStr">
        <is>
          <t>Rate 2 (input)</t>
        </is>
      </c>
      <c r="C19" t="inlineStr">
        <is>
          <t>MQL → SQL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</row>
    <row r="20">
      <c r="A20" t="inlineStr">
        <is>
          <t>Outbound SDR</t>
        </is>
      </c>
      <c r="B20" t="inlineStr">
        <is>
          <t>SQO (formula)</t>
        </is>
      </c>
      <c r="C20" t="inlineStr">
        <is>
          <t>SQL → SQO — last rate × mid</t>
        </is>
      </c>
      <c r="D20" s="9">
        <f>D18*D19</f>
        <v/>
      </c>
      <c r="E20" s="9">
        <f>E18*E19</f>
        <v/>
      </c>
      <c r="F20" s="9">
        <f>F18*F19</f>
        <v/>
      </c>
      <c r="G20" s="9">
        <f>G18*G19</f>
        <v/>
      </c>
      <c r="H20" s="9">
        <f>H18*H19</f>
        <v/>
      </c>
      <c r="I20" s="9">
        <f>I18*I19</f>
        <v/>
      </c>
      <c r="J20" s="9">
        <f>J18*J19</f>
        <v/>
      </c>
      <c r="K20" s="9">
        <f>K18*K19</f>
        <v/>
      </c>
      <c r="L20" s="9">
        <f>L18*L19</f>
        <v/>
      </c>
      <c r="M20" s="9">
        <f>M18*M19</f>
        <v/>
      </c>
      <c r="N20" s="9">
        <f>N18*N19</f>
        <v/>
      </c>
      <c r="O20" s="9">
        <f>O18*O19</f>
        <v/>
      </c>
    </row>
    <row r="21">
      <c r="A21" s="5" t="inlineStr">
        <is>
          <t>Events</t>
        </is>
      </c>
      <c r="B21" s="6" t="inlineStr">
        <is>
          <t>Volume (input)</t>
        </is>
      </c>
      <c r="C21" s="7" t="inlineStr">
        <is>
          <t>Events held</t>
        </is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</row>
    <row r="22">
      <c r="A22" t="inlineStr">
        <is>
          <t>Events</t>
        </is>
      </c>
      <c r="B22" t="inlineStr">
        <is>
          <t>Rate 1 (input)</t>
        </is>
      </c>
      <c r="C22" t="inlineStr">
        <is>
          <t>Leads / event</t>
        </is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</row>
    <row r="23">
      <c r="A23" t="inlineStr">
        <is>
          <t>Events</t>
        </is>
      </c>
      <c r="B23" t="inlineStr">
        <is>
          <t>Mid-count (formula)</t>
        </is>
      </c>
      <c r="C23" t="inlineStr">
        <is>
          <t>Volume × rate 1</t>
        </is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  <c r="H23" s="8">
        <f>H21*H22</f>
        <v/>
      </c>
      <c r="I23" s="8">
        <f>I21*I22</f>
        <v/>
      </c>
      <c r="J23" s="8">
        <f>J21*J22</f>
        <v/>
      </c>
      <c r="K23" s="8">
        <f>K21*K22</f>
        <v/>
      </c>
      <c r="L23" s="8">
        <f>L21*L22</f>
        <v/>
      </c>
      <c r="M23" s="8">
        <f>M21*M22</f>
        <v/>
      </c>
      <c r="N23" s="8">
        <f>N21*N22</f>
        <v/>
      </c>
      <c r="O23" s="8">
        <f>O21*O22</f>
        <v/>
      </c>
    </row>
    <row r="24">
      <c r="A24" t="inlineStr">
        <is>
          <t>Events</t>
        </is>
      </c>
      <c r="B24" t="inlineStr">
        <is>
          <t>Rate 2 (input)</t>
        </is>
      </c>
      <c r="C24" t="inlineStr">
        <is>
          <t>Lead → MQL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</row>
    <row r="25">
      <c r="A25" t="inlineStr">
        <is>
          <t>Events</t>
        </is>
      </c>
      <c r="B25" t="inlineStr">
        <is>
          <t>SQO (formula)</t>
        </is>
      </c>
      <c r="C25" t="inlineStr">
        <is>
          <t>MQL → SQO — last rate × mid</t>
        </is>
      </c>
      <c r="D25" s="9">
        <f>D23*D24</f>
        <v/>
      </c>
      <c r="E25" s="9">
        <f>E23*E24</f>
        <v/>
      </c>
      <c r="F25" s="9">
        <f>F23*F24</f>
        <v/>
      </c>
      <c r="G25" s="9">
        <f>G23*G24</f>
        <v/>
      </c>
      <c r="H25" s="9">
        <f>H23*H24</f>
        <v/>
      </c>
      <c r="I25" s="9">
        <f>I23*I24</f>
        <v/>
      </c>
      <c r="J25" s="9">
        <f>J23*J24</f>
        <v/>
      </c>
      <c r="K25" s="9">
        <f>K23*K24</f>
        <v/>
      </c>
      <c r="L25" s="9">
        <f>L23*L24</f>
        <v/>
      </c>
      <c r="M25" s="9">
        <f>M23*M24</f>
        <v/>
      </c>
      <c r="N25" s="9">
        <f>N23*N24</f>
        <v/>
      </c>
      <c r="O25" s="9">
        <f>O23*O24</f>
        <v/>
      </c>
    </row>
    <row r="26">
      <c r="A26" s="5" t="inlineStr">
        <is>
          <t>Other (name it)</t>
        </is>
      </c>
      <c r="B26" s="6" t="inlineStr">
        <is>
          <t>Volume (input)</t>
        </is>
      </c>
      <c r="C26" s="7" t="inlineStr">
        <is>
          <t>Volume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</row>
    <row r="27">
      <c r="A27" t="inlineStr">
        <is>
          <t>Other (name it)</t>
        </is>
      </c>
      <c r="B27" t="inlineStr">
        <is>
          <t>Rate 1 (input)</t>
        </is>
      </c>
      <c r="C27" t="inlineStr">
        <is>
          <t>→ MQL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</row>
    <row r="28">
      <c r="A28" t="inlineStr">
        <is>
          <t>Other (name it)</t>
        </is>
      </c>
      <c r="B28" t="inlineStr">
        <is>
          <t>Mid-count (formula)</t>
        </is>
      </c>
      <c r="C28" t="inlineStr">
        <is>
          <t>Volume × rate 1</t>
        </is>
      </c>
      <c r="D28" s="8">
        <f>D26*D27</f>
        <v/>
      </c>
      <c r="E28" s="8">
        <f>E26*E27</f>
        <v/>
      </c>
      <c r="F28" s="8">
        <f>F26*F27</f>
        <v/>
      </c>
      <c r="G28" s="8">
        <f>G26*G27</f>
        <v/>
      </c>
      <c r="H28" s="8">
        <f>H26*H27</f>
        <v/>
      </c>
      <c r="I28" s="8">
        <f>I26*I27</f>
        <v/>
      </c>
      <c r="J28" s="8">
        <f>J26*J27</f>
        <v/>
      </c>
      <c r="K28" s="8">
        <f>K26*K27</f>
        <v/>
      </c>
      <c r="L28" s="8">
        <f>L26*L27</f>
        <v/>
      </c>
      <c r="M28" s="8">
        <f>M26*M27</f>
        <v/>
      </c>
      <c r="N28" s="8">
        <f>N26*N27</f>
        <v/>
      </c>
      <c r="O28" s="8">
        <f>O26*O27</f>
        <v/>
      </c>
    </row>
    <row r="29">
      <c r="A29" t="inlineStr">
        <is>
          <t>Other (name it)</t>
        </is>
      </c>
      <c r="B29" t="inlineStr">
        <is>
          <t>Rate 2 (input)</t>
        </is>
      </c>
      <c r="C29" t="inlineStr">
        <is>
          <t>MQL → SQL</t>
        </is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</row>
    <row r="30">
      <c r="A30" t="inlineStr">
        <is>
          <t>Other (name it)</t>
        </is>
      </c>
      <c r="B30" t="inlineStr">
        <is>
          <t>SQO (formula)</t>
        </is>
      </c>
      <c r="C30" t="inlineStr">
        <is>
          <t>SQL → SQO — last rate × mid</t>
        </is>
      </c>
      <c r="D30" s="9">
        <f>D28*D29</f>
        <v/>
      </c>
      <c r="E30" s="9">
        <f>E28*E29</f>
        <v/>
      </c>
      <c r="F30" s="9">
        <f>F28*F29</f>
        <v/>
      </c>
      <c r="G30" s="9">
        <f>G28*G29</f>
        <v/>
      </c>
      <c r="H30" s="9">
        <f>H28*H29</f>
        <v/>
      </c>
      <c r="I30" s="9">
        <f>I28*I29</f>
        <v/>
      </c>
      <c r="J30" s="9">
        <f>J28*J29</f>
        <v/>
      </c>
      <c r="K30" s="9">
        <f>K28*K29</f>
        <v/>
      </c>
      <c r="L30" s="9">
        <f>L28*L29</f>
        <v/>
      </c>
      <c r="M30" s="9">
        <f>M28*M29</f>
        <v/>
      </c>
      <c r="N30" s="9">
        <f>N28*N29</f>
        <v/>
      </c>
      <c r="O30" s="9">
        <f>O28*O29</f>
        <v/>
      </c>
    </row>
    <row r="31">
      <c r="A31" s="10" t="inlineStr">
        <is>
          <t>All channels</t>
        </is>
      </c>
      <c r="B31" s="10" t="inlineStr">
        <is>
          <t>SQO total</t>
        </is>
      </c>
      <c r="D31" s="11">
        <f>D10+D15+D20+D25+D30</f>
        <v/>
      </c>
      <c r="E31" s="11">
        <f>E10+E15+E20+E25+E30</f>
        <v/>
      </c>
      <c r="F31" s="11">
        <f>F10+F15+F20+F25+F30</f>
        <v/>
      </c>
      <c r="G31" s="11">
        <f>G10+G15+G20+G25+G30</f>
        <v/>
      </c>
      <c r="H31" s="11">
        <f>H10+H15+H20+H25+H30</f>
        <v/>
      </c>
      <c r="I31" s="11">
        <f>I10+I15+I20+I25+I30</f>
        <v/>
      </c>
      <c r="J31" s="11">
        <f>J10+J15+J20+J25+J30</f>
        <v/>
      </c>
      <c r="K31" s="11">
        <f>K10+K15+K20+K25+K30</f>
        <v/>
      </c>
      <c r="L31" s="11">
        <f>L10+L15+L20+L25+L30</f>
        <v/>
      </c>
      <c r="M31" s="11">
        <f>M10+M15+M20+M25+M30</f>
        <v/>
      </c>
      <c r="N31" s="11">
        <f>N10+N15+N20+N25+N30</f>
        <v/>
      </c>
      <c r="O31" s="11">
        <f>O10+O15+O20+O25+O30</f>
        <v/>
      </c>
    </row>
    <row r="33">
      <c r="A33" s="5" t="inlineStr">
        <is>
          <t>Paid cost this period (input, optional)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</row>
    <row r="34">
      <c r="A34" s="5" t="inlineStr">
        <is>
          <t>Cost per SQO (formula)</t>
        </is>
      </c>
      <c r="D34" s="12">
        <f>IF(D31=0,"",D33/D31)</f>
        <v/>
      </c>
      <c r="E34" s="12">
        <f>IF(E31=0,"",E33/E31)</f>
        <v/>
      </c>
      <c r="F34" s="12">
        <f>IF(F31=0,"",F33/F31)</f>
        <v/>
      </c>
      <c r="G34" s="12">
        <f>IF(G31=0,"",G33/G31)</f>
        <v/>
      </c>
      <c r="H34" s="12">
        <f>IF(H31=0,"",H33/H31)</f>
        <v/>
      </c>
      <c r="I34" s="12">
        <f>IF(I31=0,"",I33/I31)</f>
        <v/>
      </c>
      <c r="J34" s="12">
        <f>IF(J31=0,"",J33/J31)</f>
        <v/>
      </c>
      <c r="K34" s="12">
        <f>IF(K31=0,"",K33/K31)</f>
        <v/>
      </c>
      <c r="L34" s="12">
        <f>IF(L31=0,"",L33/L31)</f>
        <v/>
      </c>
      <c r="M34" s="12">
        <f>IF(M31=0,"",M33/M31)</f>
        <v/>
      </c>
      <c r="N34" s="12">
        <f>IF(N31=0,"",N33/N31)</f>
        <v/>
      </c>
      <c r="O34" s="12">
        <f>IF(O31=0,"",O33/O31)</f>
        <v/>
      </c>
    </row>
  </sheetData>
  <autoFilter ref="A5:O5"/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8" customHeight="1">
      <c r="A1" s="1" t="inlineStr">
        <is>
          <t>Invented — not a forecast. Shows shape only. Your rates come from your last four quarters.</t>
        </is>
      </c>
    </row>
    <row r="3" ht="40" customHeight="1">
      <c r="A3" s="5" t="inlineStr">
        <is>
          <t>Story</t>
        </is>
      </c>
      <c r="B3" s="13" t="inlineStr">
        <is>
          <t>Paid search and outbound are the only non-zero channels. Events: two shows. Do not copy these rates.</t>
        </is>
      </c>
    </row>
    <row r="4" ht="40" customHeight="1">
      <c r="A4" s="5" t="inlineStr">
        <is>
          <t>Paid search example shape</t>
        </is>
      </c>
      <c r="B4" s="13" t="inlineStr">
        <is>
          <t>Clicks 8,000; click→MQL 0.02; MQL→SQL 0.25; SQL→SQO 0.40. Cost in the cost row.</t>
        </is>
      </c>
    </row>
    <row r="5" ht="40" customHeight="1">
      <c r="A5" s="5" t="inlineStr">
        <is>
          <t>Constraint reminder</t>
        </is>
      </c>
      <c r="B5" s="13" t="inlineStr">
        <is>
          <t>If this sheet creates 15 SQO/month and capacity can work 12, tighten scoring—do not hire wishfully.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2026-08-29T16:05:38Z</dcterms:created>
  <dcterms:modified xsi:type="dcterms:W3CDTF">2026-08-29T16:05:38Z</dcterms:modified>
</cp:coreProperties>
</file>